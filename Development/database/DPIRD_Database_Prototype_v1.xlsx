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12.xml" ContentType="application/vnd.openxmlformats-officedocument.spreadsheetml.worksheet+xml"/>
  <Override PartName="/xl/worksheets/sheet7.xml" ContentType="application/vnd.openxmlformats-officedocument.spreadsheetml.worksheet+xml"/>
  <Override PartName="/xl/worksheets/sheet13.xml" ContentType="application/vnd.openxmlformats-officedocument.spreadsheetml.worksheet+xml"/>
  <Override PartName="/xl/worksheets/sheet8.xml" ContentType="application/vnd.openxmlformats-officedocument.spreadsheetml.worksheet+xml"/>
  <Override PartName="/xl/worksheets/sheet14.xml" ContentType="application/vnd.openxmlformats-officedocument.spreadsheetml.worksheet+xml"/>
  <Override PartName="/xl/worksheets/sheet9.xml" ContentType="application/vnd.openxmlformats-officedocument.spreadsheetml.worksheet+xml"/>
  <Override PartName="/xl/worksheets/sheet5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ADME" sheetId="1" state="visible" r:id="rId3"/>
    <sheet name="sectors" sheetId="2" state="visible" r:id="rId4"/>
    <sheet name="tags" sheetId="3" state="visible" r:id="rId5"/>
    <sheet name="grants" sheetId="4" state="visible" r:id="rId6"/>
    <sheet name="grant_tags" sheetId="5" state="visible" r:id="rId7"/>
    <sheet name="providers" sheetId="6" state="visible" r:id="rId8"/>
    <sheet name="provider_tags" sheetId="7" state="visible" r:id="rId9"/>
    <sheet name="grant_providers" sheetId="8" state="visible" r:id="rId10"/>
    <sheet name="questions" sheetId="9" state="visible" r:id="rId11"/>
    <sheet name="question_tags" sheetId="10" state="visible" r:id="rId12"/>
    <sheet name="consultants" sheetId="11" state="visible" r:id="rId13"/>
    <sheet name="diagnostic_sessions" sheetId="12" state="visible" r:id="rId14"/>
    <sheet name="user_responses" sheetId="13" state="visible" r:id="rId15"/>
    <sheet name="match_results" sheetId="14" state="visible" r:id="rId16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<sst xmlns="http://schemas.openxmlformats.org/spreadsheetml/2006/main" count="1792" uniqueCount="928">
  <si>
    <t xml:space="preserve">DPIRD Digital Advisory Platform — Database Prototype</t>
  </si>
  <si>
    <t xml:space="preserve">Eleven June Consulting · Versión 1.0 · Agosto 2026 · Para: Antigravity</t>
  </si>
  <si>
    <t xml:space="preserve">PROPÓSITO</t>
  </si>
  <si>
    <t xml:space="preserve">Este archivo simula el schema de base de datos Supabase. Cada hoja = una tabla. Los datos son reales extraídos de portales de grants y del prototipo React existente.</t>
  </si>
  <si>
    <t xml:space="preserve">CONVENCIONES DE DATOS</t>
  </si>
  <si>
    <t xml:space="preserve">  IDs</t>
  </si>
  <si>
    <t xml:space="preserve">UUIDs generados. En Supabase se generan automáticamente con gen_random_uuid().</t>
  </si>
  <si>
    <t xml:space="preserve">  Montos</t>
  </si>
  <si>
    <t xml:space="preserve">En AUD (dólares enteros, no cents). Al cargar en Supabase multiplicar × 100 para convertir a cents bigint.</t>
  </si>
  <si>
    <t xml:space="preserve">  Arrays (text[])</t>
  </si>
  <si>
    <t xml:space="preserve">Separados por coma en la celda. En Supabase se cargan como arrays JSON: ['val1','val2'].</t>
  </si>
  <si>
    <t xml:space="preserve">  JSONB</t>
  </si>
  <si>
    <t xml:space="preserve">Representados como texto JSON en la celda. Parsear antes de insertar en Supabase.</t>
  </si>
  <si>
    <t xml:space="preserve">  Fechas</t>
  </si>
  <si>
    <t xml:space="preserve">Formato YYYY-MM-DD.</t>
  </si>
  <si>
    <t xml:space="preserve">  Booleanos</t>
  </si>
  <si>
    <t xml:space="preserve">TRUE / FALSE.</t>
  </si>
  <si>
    <t xml:space="preserve">HOJAS INCLUIDAS</t>
  </si>
  <si>
    <t xml:space="preserve">  1. sectors</t>
  </si>
  <si>
    <t xml:space="preserve">Vocabulario controlado de industrias y sub-sectores.</t>
  </si>
  <si>
    <t xml:space="preserve">  2. tags</t>
  </si>
  <si>
    <t xml:space="preserve">Sistema de etiquetas compartido (edges del knowledge graph).</t>
  </si>
  <si>
    <t xml:space="preserve">  3. grants</t>
  </si>
  <si>
    <t xml:space="preserve">Catálogo completo de programas de apoyo.</t>
  </si>
  <si>
    <t xml:space="preserve">  4. grant_tags</t>
  </si>
  <si>
    <t xml:space="preserve">Relación many-to-many: grants ↔ tags.</t>
  </si>
  <si>
    <t xml:space="preserve">  5. providers</t>
  </si>
  <si>
    <t xml:space="preserve">Proveedores de servicios pre-aprobados por DPIRD.</t>
  </si>
  <si>
    <t xml:space="preserve">  6. provider_tags</t>
  </si>
  <si>
    <t xml:space="preserve">Relación many-to-many: providers ↔ tags.</t>
  </si>
  <si>
    <t xml:space="preserve">  7. grant_providers</t>
  </si>
  <si>
    <t xml:space="preserve">Asociación entre grants y providers recomendados.</t>
  </si>
  <si>
    <t xml:space="preserve">  8. questions</t>
  </si>
  <si>
    <t xml:space="preserve">Banco de preguntas del wizard de diagnóstico.</t>
  </si>
  <si>
    <t xml:space="preserve">  9. question_tags</t>
  </si>
  <si>
    <t xml:space="preserve">Relación many-to-many: questions ↔ tags.</t>
  </si>
  <si>
    <t xml:space="preserve">  10. consultants</t>
  </si>
  <si>
    <t xml:space="preserve">Usuarios consultores de DPIRD (datos de ejemplo).</t>
  </si>
  <si>
    <t xml:space="preserve">  11. diagnostic_sessions</t>
  </si>
  <si>
    <t xml:space="preserve">Sesiones de diagnóstico de ejemplo.</t>
  </si>
  <si>
    <t xml:space="preserve">  12. user_responses</t>
  </si>
  <si>
    <t xml:space="preserve">Respuestas de ejemplo a las preguntas del wizard.</t>
  </si>
  <si>
    <t xml:space="preserve">  13. match_results</t>
  </si>
  <si>
    <t xml:space="preserve">Resultados de matching de ejemplo.</t>
  </si>
  <si>
    <t xml:space="preserve">FUENTES DE DATOS</t>
  </si>
  <si>
    <t xml:space="preserve">  Grants del prototipo</t>
  </si>
  <si>
    <t xml:space="preserve">Extraídos de /src/pages/Grants.jsx del prototipo React actual.</t>
  </si>
  <si>
    <t xml:space="preserve">  Grants analizados</t>
  </si>
  <si>
    <t xml:space="preserve">business.gov.au, screenaustralia.gov.au, dpird.wa.gov.au (fetched Aug 2026).</t>
  </si>
  <si>
    <t xml:space="preserve">  Providers</t>
  </si>
  <si>
    <t xml:space="preserve">Datos de ejemplo representativos — pendiente lista oficial DPIRD.</t>
  </si>
  <si>
    <t xml:space="preserve">  Questions</t>
  </si>
  <si>
    <t xml:space="preserve">Diseñadas según framework: Operations 35% · Digital 40% · Market 25%.</t>
  </si>
  <si>
    <t xml:space="preserve">id</t>
  </si>
  <si>
    <t xml:space="preserve">name</t>
  </si>
  <si>
    <t xml:space="preserve">slug</t>
  </si>
  <si>
    <t xml:space="preserve">parent_id</t>
  </si>
  <si>
    <t xml:space="preserve">icon</t>
  </si>
  <si>
    <t xml:space="preserve">description</t>
  </si>
  <si>
    <t xml:space="preserve">is_active</t>
  </si>
  <si>
    <t xml:space="preserve">sort_order</t>
  </si>
  <si>
    <t xml:space="preserve">7fdb0313-5f95-4c2d-b361-cae6cc9dc64e</t>
  </si>
  <si>
    <t xml:space="preserve">Agriculture</t>
  </si>
  <si>
    <t xml:space="preserve">agriculture</t>
  </si>
  <si>
    <t xml:space="preserve">Primary agricultural production including livestock, crops and land management.</t>
  </si>
  <si>
    <t xml:space="preserve">23a46d98-921f-4803-9ffd-5e490145e65b</t>
  </si>
  <si>
    <t xml:space="preserve">Food &amp; Beverage</t>
  </si>
  <si>
    <t xml:space="preserve">food_beverage</t>
  </si>
  <si>
    <t xml:space="preserve">restaurant</t>
  </si>
  <si>
    <t xml:space="preserve">Food and beverage manufacturing, processing and distribution.</t>
  </si>
  <si>
    <t xml:space="preserve">839e2e9d-2e32-47b0-b355-63058a86e12a</t>
  </si>
  <si>
    <t xml:space="preserve">Food Manufacturing</t>
  </si>
  <si>
    <t xml:space="preserve">food_manufacturing</t>
  </si>
  <si>
    <t xml:space="preserve">factory</t>
  </si>
  <si>
    <t xml:space="preserve">Industrial-scale food manufacturing and processing operations.</t>
  </si>
  <si>
    <t xml:space="preserve">dbe5a554-4d3e-49a8-80d2-b711c66a1a8c</t>
  </si>
  <si>
    <t xml:space="preserve">Aquaculture</t>
  </si>
  <si>
    <t xml:space="preserve">aquaculture</t>
  </si>
  <si>
    <t xml:space="preserve">water</t>
  </si>
  <si>
    <t xml:space="preserve">Aquaculture and marine farming operations in Western Australia.</t>
  </si>
  <si>
    <t xml:space="preserve">32b9a7fb-6042-428b-b761-415b709e0ea0</t>
  </si>
  <si>
    <t xml:space="preserve">Horticulture</t>
  </si>
  <si>
    <t xml:space="preserve">horticulture</t>
  </si>
  <si>
    <t xml:space="preserve">local_florist</t>
  </si>
  <si>
    <t xml:space="preserve">Fruit, vegetable and flower growing operations.</t>
  </si>
  <si>
    <t xml:space="preserve">9d872682-6a6d-414d-914c-ef0cd70fd454</t>
  </si>
  <si>
    <t xml:space="preserve">Retail &amp; Wholesale</t>
  </si>
  <si>
    <t xml:space="preserve">retail</t>
  </si>
  <si>
    <t xml:space="preserve">storefront</t>
  </si>
  <si>
    <t xml:space="preserve">Retail trade, wholesale distribution and consumer goods.</t>
  </si>
  <si>
    <t xml:space="preserve">8a3b25d5-2063-445b-800b-a78d0b6c1456</t>
  </si>
  <si>
    <t xml:space="preserve">Construction &amp; Trade</t>
  </si>
  <si>
    <t xml:space="preserve">construction</t>
  </si>
  <si>
    <t xml:space="preserve">Building, construction, civil engineering and trade services.</t>
  </si>
  <si>
    <t xml:space="preserve">2b82a710-2246-4be5-84cf-6f8f4b7f0bd0</t>
  </si>
  <si>
    <t xml:space="preserve">Professional Services</t>
  </si>
  <si>
    <t xml:space="preserve">professional_services</t>
  </si>
  <si>
    <t xml:space="preserve">business_center</t>
  </si>
  <si>
    <t xml:space="preserve">Legal, accounting, consulting and professional advisory services.</t>
  </si>
  <si>
    <t xml:space="preserve">ff076e36-76b2-4480-98a8-8d394352c79b</t>
  </si>
  <si>
    <t xml:space="preserve">Regional Development</t>
  </si>
  <si>
    <t xml:space="preserve">regional_development</t>
  </si>
  <si>
    <t xml:space="preserve">location_city</t>
  </si>
  <si>
    <t xml:space="preserve">Regional and rural business development across Western Australia.</t>
  </si>
  <si>
    <t xml:space="preserve">9dc6c815-0ee4-4bf0-83f4-1ac0e7d0e963</t>
  </si>
  <si>
    <t xml:space="preserve">Indigenous Business</t>
  </si>
  <si>
    <t xml:space="preserve">indigenous_business</t>
  </si>
  <si>
    <t xml:space="preserve">groups</t>
  </si>
  <si>
    <t xml:space="preserve">Aboriginal and Torres Strait Islander owned and operated businesses.</t>
  </si>
  <si>
    <t xml:space="preserve">848ae804-a8e2-4ea0-97cd-b478b18c1b12</t>
  </si>
  <si>
    <t xml:space="preserve">Environmental &amp; Sustainability</t>
  </si>
  <si>
    <t xml:space="preserve">environmental</t>
  </si>
  <si>
    <t xml:space="preserve">eco</t>
  </si>
  <si>
    <t xml:space="preserve">Environmental management, conservation and sustainability programs.</t>
  </si>
  <si>
    <t xml:space="preserve">07f3c3b7-8274-474a-9d03-67879f9eca21</t>
  </si>
  <si>
    <t xml:space="preserve">Fishing &amp; Recreation</t>
  </si>
  <si>
    <t xml:space="preserve">fishing_recreation</t>
  </si>
  <si>
    <t xml:space="preserve">phishing</t>
  </si>
  <si>
    <t xml:space="preserve">Recreational fishing and related marine activities.</t>
  </si>
  <si>
    <t xml:space="preserve">c3e7c9b3-79d9-4db9-8adb-e78492bcf6e5</t>
  </si>
  <si>
    <t xml:space="preserve">Creative Industries</t>
  </si>
  <si>
    <t xml:space="preserve">creative_industries</t>
  </si>
  <si>
    <t xml:space="preserve">palette</t>
  </si>
  <si>
    <t xml:space="preserve">Film, media, arts and cultural creative industries.</t>
  </si>
  <si>
    <t xml:space="preserve">label</t>
  </si>
  <si>
    <t xml:space="preserve">category</t>
  </si>
  <si>
    <t xml:space="preserve">375150a6-354f-4672-83cb-d889fb981aeb</t>
  </si>
  <si>
    <t xml:space="preserve">website</t>
  </si>
  <si>
    <t xml:space="preserve">Sitio web</t>
  </si>
  <si>
    <t xml:space="preserve">digital</t>
  </si>
  <si>
    <t xml:space="preserve">El negocio tiene o necesita un sitio web</t>
  </si>
  <si>
    <t xml:space="preserve">ba262b11-718f-41fd-8a7e-5f796477e6b7</t>
  </si>
  <si>
    <t xml:space="preserve">ecommerce</t>
  </si>
  <si>
    <t xml:space="preserve">E-commerce</t>
  </si>
  <si>
    <t xml:space="preserve">Venta online activa o necesidad de implementarla</t>
  </si>
  <si>
    <t xml:space="preserve">8d332fb9-c25c-4c13-8f81-609a33c274ec</t>
  </si>
  <si>
    <t xml:space="preserve">social_media</t>
  </si>
  <si>
    <t xml:space="preserve">Redes sociales</t>
  </si>
  <si>
    <t xml:space="preserve">Presencia o necesidad de gestión de redes sociales</t>
  </si>
  <si>
    <t xml:space="preserve">32a1dbd9-19a8-4b56-abb5-2b7201c23053</t>
  </si>
  <si>
    <t xml:space="preserve">crm</t>
  </si>
  <si>
    <t xml:space="preserve">CRM / Gestión clientes</t>
  </si>
  <si>
    <t xml:space="preserve">Sistema de gestión de relaciones con clientes</t>
  </si>
  <si>
    <t xml:space="preserve">d070ad54-d55c-4e47-959a-74159a5817f1</t>
  </si>
  <si>
    <t xml:space="preserve">inventory_software</t>
  </si>
  <si>
    <t xml:space="preserve">Software de inventario</t>
  </si>
  <si>
    <t xml:space="preserve">Gestión digital de stock e inventario</t>
  </si>
  <si>
    <t xml:space="preserve">ab9e2ddc-2f73-423e-a651-877c2543875d</t>
  </si>
  <si>
    <t xml:space="preserve">pos_system</t>
  </si>
  <si>
    <t xml:space="preserve">Sistema POS</t>
  </si>
  <si>
    <t xml:space="preserve">Punto de venta digital (hardware/software)</t>
  </si>
  <si>
    <t xml:space="preserve">7174489a-95cd-4591-ba90-f957b1704e96</t>
  </si>
  <si>
    <t xml:space="preserve">cybersecurity</t>
  </si>
  <si>
    <t xml:space="preserve">Ciberseguridad</t>
  </si>
  <si>
    <t xml:space="preserve">Necesidad de protección de datos y seguridad informática</t>
  </si>
  <si>
    <t xml:space="preserve">7a786869-8c9e-46c0-95c0-9b15a11f916f</t>
  </si>
  <si>
    <t xml:space="preserve">ai_tools</t>
  </si>
  <si>
    <t xml:space="preserve">Herramientas de IA</t>
  </si>
  <si>
    <t xml:space="preserve">Uso o adopción de inteligencia artificial en operaciones</t>
  </si>
  <si>
    <t xml:space="preserve">fced5da6-dc31-4fc8-ae0a-f7c9f463f706</t>
  </si>
  <si>
    <t xml:space="preserve">cloud_services</t>
  </si>
  <si>
    <t xml:space="preserve">Servicios en la nube</t>
  </si>
  <si>
    <t xml:space="preserve">Uso de plataformas cloud (AWS, Google Cloud, Microsoft 365)</t>
  </si>
  <si>
    <t xml:space="preserve">29e51eb9-cfa7-4423-8065-8524793cb86b</t>
  </si>
  <si>
    <t xml:space="preserve">digital_marketing</t>
  </si>
  <si>
    <t xml:space="preserve">Marketing digital</t>
  </si>
  <si>
    <t xml:space="preserve">SEO, SEM, email marketing y campañas digitales</t>
  </si>
  <si>
    <t xml:space="preserve">e18287c0-ec33-4c81-a543-e173225a3ea7</t>
  </si>
  <si>
    <t xml:space="preserve">online_booking</t>
  </si>
  <si>
    <t xml:space="preserve">Reservas online</t>
  </si>
  <si>
    <t xml:space="preserve">Sistema de reservas o turnos digitales</t>
  </si>
  <si>
    <t xml:space="preserve">1ac2648a-6cef-4e29-80a2-998d12e065f3</t>
  </si>
  <si>
    <t xml:space="preserve">business_software</t>
  </si>
  <si>
    <t xml:space="preserve">Software de gestión</t>
  </si>
  <si>
    <t xml:space="preserve">ERP, contabilidad digital, software de operaciones</t>
  </si>
  <si>
    <t xml:space="preserve">196269bd-7311-4b52-8a00-21dd76e7c128</t>
  </si>
  <si>
    <t xml:space="preserve">no_digital_presence</t>
  </si>
  <si>
    <t xml:space="preserve">Sin presencia digital</t>
  </si>
  <si>
    <t xml:space="preserve">Negocio sin ninguna herramienta o presencia digital</t>
  </si>
  <si>
    <t xml:space="preserve">e03bc7a4-c40d-486e-b653-957000cc06d5</t>
  </si>
  <si>
    <t xml:space="preserve">supply_chain</t>
  </si>
  <si>
    <t xml:space="preserve">Cadena de suministro</t>
  </si>
  <si>
    <t xml:space="preserve">operations</t>
  </si>
  <si>
    <t xml:space="preserve">Gestión y optimización de cadena de suministro</t>
  </si>
  <si>
    <t xml:space="preserve">4df73018-979d-4147-99c5-7ee04d9ec55c</t>
  </si>
  <si>
    <t xml:space="preserve">quality_control</t>
  </si>
  <si>
    <t xml:space="preserve">Control de calidad</t>
  </si>
  <si>
    <t xml:space="preserve">Procesos de control y aseguramiento de calidad</t>
  </si>
  <si>
    <t xml:space="preserve">81892e18-cc47-4037-a05d-744e13b40cba</t>
  </si>
  <si>
    <t xml:space="preserve">compliance</t>
  </si>
  <si>
    <t xml:space="preserve">Cumplimiento normativo</t>
  </si>
  <si>
    <t xml:space="preserve">Adherencia a regulaciones y normativas sectoriales</t>
  </si>
  <si>
    <t xml:space="preserve">6a7b1107-e612-4104-b14e-a6361c7f97ab</t>
  </si>
  <si>
    <t xml:space="preserve">certification</t>
  </si>
  <si>
    <t xml:space="preserve">Certificaciones</t>
  </si>
  <si>
    <t xml:space="preserve">Obtención o mantenimiento de certificaciones (orgánico, ISO, etc.)</t>
  </si>
  <si>
    <t xml:space="preserve">be2bb8ba-ea21-477f-8ced-085452bdaf08</t>
  </si>
  <si>
    <t xml:space="preserve">process_automation</t>
  </si>
  <si>
    <t xml:space="preserve">Automatización de procesos</t>
  </si>
  <si>
    <t xml:space="preserve">Digitalización y automatización de procesos manuales</t>
  </si>
  <si>
    <t xml:space="preserve">056cada1-55e0-44fa-a5f8-133d06d03203</t>
  </si>
  <si>
    <t xml:space="preserve">water_management</t>
  </si>
  <si>
    <t xml:space="preserve">Gestión del agua</t>
  </si>
  <si>
    <t xml:space="preserve">Eficiencia hídrica y manejo de recursos de agua</t>
  </si>
  <si>
    <t xml:space="preserve">9bb0dc5e-1743-46ce-87d9-39a593298b38</t>
  </si>
  <si>
    <t xml:space="preserve">biosecurity</t>
  </si>
  <si>
    <t xml:space="preserve">Bioseguridad</t>
  </si>
  <si>
    <t xml:space="preserve">Control de plagas, enfermedades y gestión de bioseguridad</t>
  </si>
  <si>
    <t xml:space="preserve">b22d8e9d-e785-496c-95d2-65a81934719c</t>
  </si>
  <si>
    <t xml:space="preserve">carbon_farming</t>
  </si>
  <si>
    <t xml:space="preserve">Carbon farming</t>
  </si>
  <si>
    <t xml:space="preserve">Secuestro de carbono y prácticas de agricultura de carbono</t>
  </si>
  <si>
    <t xml:space="preserve">5967a623-bf35-48e8-9973-e6a5a50fcc5d</t>
  </si>
  <si>
    <t xml:space="preserve">logistics</t>
  </si>
  <si>
    <t xml:space="preserve">Logística y distribución</t>
  </si>
  <si>
    <t xml:space="preserve">Transporte, distribución y logística de productos</t>
  </si>
  <si>
    <t xml:space="preserve">69a36261-3837-4864-88d5-8b9a052d34ea</t>
  </si>
  <si>
    <t xml:space="preserve">food_safety</t>
  </si>
  <si>
    <t xml:space="preserve">Seguridad alimentaria</t>
  </si>
  <si>
    <t xml:space="preserve">Cumplimiento de normativas de inocuidad alimentaria</t>
  </si>
  <si>
    <t xml:space="preserve">485ca52f-aa46-4225-b55d-220c7ec6fe55</t>
  </si>
  <si>
    <t xml:space="preserve">export</t>
  </si>
  <si>
    <t xml:space="preserve">Exportación</t>
  </si>
  <si>
    <t xml:space="preserve">market</t>
  </si>
  <si>
    <t xml:space="preserve">Venta de productos o servicios en mercados internacionales</t>
  </si>
  <si>
    <t xml:space="preserve">f2c0a3d5-7598-4e0b-b636-3d03397bfa0e</t>
  </si>
  <si>
    <t xml:space="preserve">import</t>
  </si>
  <si>
    <t xml:space="preserve">Importación</t>
  </si>
  <si>
    <t xml:space="preserve">Importación de insumos o productos del exterior</t>
  </si>
  <si>
    <t xml:space="preserve">eeca24b1-1f45-488c-a644-01779acf7ee3</t>
  </si>
  <si>
    <t xml:space="preserve">b2b_sales</t>
  </si>
  <si>
    <t xml:space="preserve">Ventas B2B</t>
  </si>
  <si>
    <t xml:space="preserve">Ventas entre empresas (business-to-business)</t>
  </si>
  <si>
    <t xml:space="preserve">2a8324bf-d7d5-459a-9e86-97047eda7821</t>
  </si>
  <si>
    <t xml:space="preserve">digital_marketing_mkt</t>
  </si>
  <si>
    <t xml:space="preserve">Estrategia de mercado digital</t>
  </si>
  <si>
    <t xml:space="preserve">Estrategia de adquisición y retención de clientes online</t>
  </si>
  <si>
    <t xml:space="preserve">f8b8bce4-107d-4c77-bf13-e6d1cdeb4067</t>
  </si>
  <si>
    <t xml:space="preserve">brand_development</t>
  </si>
  <si>
    <t xml:space="preserve">Desarrollo de marca</t>
  </si>
  <si>
    <t xml:space="preserve">Construcción y posicionamiento de marca</t>
  </si>
  <si>
    <t xml:space="preserve">cde69925-71af-452f-b325-7faca1ee2259</t>
  </si>
  <si>
    <t xml:space="preserve">indigenous_market</t>
  </si>
  <si>
    <t xml:space="preserve">Mercado indígena</t>
  </si>
  <si>
    <t xml:space="preserve">Foco en mercados o comunidades indígenas</t>
  </si>
  <si>
    <t xml:space="preserve">d1621af5-6e9b-4439-96e3-808fb0ef4d3b</t>
  </si>
  <si>
    <t xml:space="preserve">regional_market</t>
  </si>
  <si>
    <t xml:space="preserve">Mercado regional WA</t>
  </si>
  <si>
    <t xml:space="preserve">Foco en mercados regionales de Western Australia</t>
  </si>
  <si>
    <t xml:space="preserve">ee5cb1d8-501a-4e73-bdf4-60698f8c059e</t>
  </si>
  <si>
    <t xml:space="preserve">international_trade</t>
  </si>
  <si>
    <t xml:space="preserve">Comercio internacional</t>
  </si>
  <si>
    <t xml:space="preserve">Operaciones de comercio exterior (import + export)</t>
  </si>
  <si>
    <t xml:space="preserve">eeb81853-523e-4059-af72-593c0ebbae8b</t>
  </si>
  <si>
    <t xml:space="preserve">abn_required</t>
  </si>
  <si>
    <t xml:space="preserve">ABN requerido</t>
  </si>
  <si>
    <t xml:space="preserve">eligibility</t>
  </si>
  <si>
    <t xml:space="preserve">El programa requiere Australian Business Number activo</t>
  </si>
  <si>
    <t xml:space="preserve">ca3a1a87-07b7-4341-a46d-4029f08dc362</t>
  </si>
  <si>
    <t xml:space="preserve">gst_registered</t>
  </si>
  <si>
    <t xml:space="preserve">GST registrado</t>
  </si>
  <si>
    <t xml:space="preserve">El programa requiere registro en GST</t>
  </si>
  <si>
    <t xml:space="preserve">d73a91f0-4e47-4718-a4e7-2b9c754825c7</t>
  </si>
  <si>
    <t xml:space="preserve">indigenous_business_elig</t>
  </si>
  <si>
    <t xml:space="preserve">Negocio indígena</t>
  </si>
  <si>
    <t xml:space="preserve">Condición de negocio Aboriginal/Torres Strait Islander</t>
  </si>
  <si>
    <t xml:space="preserve">7fbab832-6e72-494b-9a3a-2904bf7b6b04</t>
  </si>
  <si>
    <t xml:space="preserve">financially_solvent</t>
  </si>
  <si>
    <t xml:space="preserve">Solvencia financiera</t>
  </si>
  <si>
    <t xml:space="preserve">El programa requiere demostrar solvencia financiera</t>
  </si>
  <si>
    <t xml:space="preserve">cb9f8a4d-8977-48c7-bd41-b6dc5516c96a</t>
  </si>
  <si>
    <t xml:space="preserve">international_supply_chain</t>
  </si>
  <si>
    <t xml:space="preserve">Supply chain internacional</t>
  </si>
  <si>
    <t xml:space="preserve">Mínimo 2 años operando en cadena de suministro internacional</t>
  </si>
  <si>
    <t xml:space="preserve">b7286565-75fc-424f-a034-052c82669da8</t>
  </si>
  <si>
    <t xml:space="preserve">water_license</t>
  </si>
  <si>
    <t xml:space="preserve">Licencia de agua</t>
  </si>
  <si>
    <t xml:space="preserve">Requiere licencia activa de agua (WA)</t>
  </si>
  <si>
    <t xml:space="preserve">fd24f5d3-0918-4a7e-bbc6-7f02fa1240df</t>
  </si>
  <si>
    <t xml:space="preserve">matching_funding</t>
  </si>
  <si>
    <t xml:space="preserve">Co-financiamiento requerido</t>
  </si>
  <si>
    <t xml:space="preserve">El programa requiere un porcentaje de co-financiamiento del aplicante</t>
  </si>
  <si>
    <t xml:space="preserve">6ca109ea-c861-482d-a8a5-74b00f8581df</t>
  </si>
  <si>
    <t xml:space="preserve">primary_producer</t>
  </si>
  <si>
    <t xml:space="preserve">Productor primario</t>
  </si>
  <si>
    <t xml:space="preserve">El aplicante debe ser productor primario</t>
  </si>
  <si>
    <t xml:space="preserve">cb572c93-127f-4724-9e68-d83ce75c6ee7</t>
  </si>
  <si>
    <t xml:space="preserve">community_org</t>
  </si>
  <si>
    <t xml:space="preserve">Organización comunitaria</t>
  </si>
  <si>
    <t xml:space="preserve">El aplicante debe ser una organización comunitaria reconocida</t>
  </si>
  <si>
    <t xml:space="preserve">1dd94cf4-6aa7-4d8d-b5b8-34b97cc8904b</t>
  </si>
  <si>
    <t xml:space="preserve">foundational</t>
  </si>
  <si>
    <t xml:space="preserve">Nivel Fundacional (DML 0-24)</t>
  </si>
  <si>
    <t xml:space="preserve">dml</t>
  </si>
  <si>
    <t xml:space="preserve">Negocios sin herramientas digitales básicas</t>
  </si>
  <si>
    <t xml:space="preserve">8229a90b-1908-43ab-b655-2d9bbf498f88</t>
  </si>
  <si>
    <t xml:space="preserve">emerging</t>
  </si>
  <si>
    <t xml:space="preserve">Nivel Emergente (DML 25-49)</t>
  </si>
  <si>
    <t xml:space="preserve">Negocios con primeras herramientas digitales, uso inconsistente</t>
  </si>
  <si>
    <t xml:space="preserve">ad6b73d2-c447-42ff-8124-69b4bb3fe250</t>
  </si>
  <si>
    <t xml:space="preserve">established</t>
  </si>
  <si>
    <t xml:space="preserve">Nivel Establecido (DML 50-74)</t>
  </si>
  <si>
    <t xml:space="preserve">Digital integrado en operaciones clave</t>
  </si>
  <si>
    <t xml:space="preserve">42e87735-2b9a-41d2-9170-7cf81e2f52ec</t>
  </si>
  <si>
    <t xml:space="preserve">advanced</t>
  </si>
  <si>
    <t xml:space="preserve">Nivel Avanzado (DML 75-100)</t>
  </si>
  <si>
    <t xml:space="preserve">Digital como ventaja competitiva, datos y automatización</t>
  </si>
  <si>
    <t xml:space="preserve">administering_body</t>
  </si>
  <si>
    <t xml:space="preserve">url</t>
  </si>
  <si>
    <t xml:space="preserve">summary</t>
  </si>
  <si>
    <t xml:space="preserve">program_type</t>
  </si>
  <si>
    <t xml:space="preserve">support_type</t>
  </si>
  <si>
    <t xml:space="preserve">delivery_mode</t>
  </si>
  <si>
    <t xml:space="preserve">recipient_type</t>
  </si>
  <si>
    <t xml:space="preserve">status</t>
  </si>
  <si>
    <t xml:space="preserve">open_date</t>
  </si>
  <si>
    <t xml:space="preserve">close_date</t>
  </si>
  <si>
    <t xml:space="preserve">is_rolling</t>
  </si>
  <si>
    <t xml:space="preserve">deadline_pattern</t>
  </si>
  <si>
    <t xml:space="preserve">amount_min_AUD</t>
  </si>
  <si>
    <t xml:space="preserve">amount_max_AUD</t>
  </si>
  <si>
    <t xml:space="preserve">total_pool_AUD</t>
  </si>
  <si>
    <t xml:space="preserve">amount_notes</t>
  </si>
  <si>
    <t xml:space="preserve">is_matched_funding</t>
  </si>
  <si>
    <t xml:space="preserve">eligible_structures</t>
  </si>
  <si>
    <t xml:space="preserve">employee_min</t>
  </si>
  <si>
    <t xml:space="preserve">employee_max</t>
  </si>
  <si>
    <t xml:space="preserve">business_age_min</t>
  </si>
  <si>
    <t xml:space="preserve">requires_abn</t>
  </si>
  <si>
    <t xml:space="preserve">requires_gst</t>
  </si>
  <si>
    <t xml:space="preserve">geographic_scope</t>
  </si>
  <si>
    <t xml:space="preserve">indigenous_focus</t>
  </si>
  <si>
    <t xml:space="preserve">sector_tags</t>
  </si>
  <si>
    <t xml:space="preserve">objective_tags</t>
  </si>
  <si>
    <t xml:space="preserve">dml_min</t>
  </si>
  <si>
    <t xml:space="preserve">dml_max</t>
  </si>
  <si>
    <t xml:space="preserve">dml_level_tags</t>
  </si>
  <si>
    <t xml:space="preserve">trigger_tags</t>
  </si>
  <si>
    <t xml:space="preserve">operations_weight</t>
  </si>
  <si>
    <t xml:space="preserve">digital_weight</t>
  </si>
  <si>
    <t xml:space="preserve">market_weight</t>
  </si>
  <si>
    <t xml:space="preserve">assessment_type</t>
  </si>
  <si>
    <t xml:space="preserve">application_channel</t>
  </si>
  <si>
    <t xml:space="preserve">contact_email</t>
  </si>
  <si>
    <t xml:space="preserve">is_featured</t>
  </si>
  <si>
    <t xml:space="preserve">6c97d8b8-9aa6-4f91-aba6-2211bed878d7</t>
  </si>
  <si>
    <t xml:space="preserve">Community Stewardship Grants</t>
  </si>
  <si>
    <t xml:space="preserve">community-stewardship-grants</t>
  </si>
  <si>
    <t xml:space="preserve">DPIRD</t>
  </si>
  <si>
    <t xml:space="preserve">https://www.dpird.wa.gov.au/community-stewardship-guidelines</t>
  </si>
  <si>
    <t xml:space="preserve">Supports community-based organisations to undertake stewardship of natural resources in Western Australia.</t>
  </si>
  <si>
    <t xml:space="preserve">Funding for community-based natural resource stewardship projects in WA.</t>
  </si>
  <si>
    <t xml:space="preserve">monetary_grant</t>
  </si>
  <si>
    <t xml:space="preserve">funding</t>
  </si>
  <si>
    <t xml:space="preserve">competitive</t>
  </si>
  <si>
    <t xml:space="preserve">business</t>
  </si>
  <si>
    <t xml:space="preserve">closed</t>
  </si>
  <si>
    <t xml:space="preserve">2026-03-12</t>
  </si>
  <si>
    <t xml:space="preserve">2026-04-29</t>
  </si>
  <si>
    <t xml:space="preserve">single_window</t>
  </si>
  <si>
    <t xml:space="preserve">25% matching funding required</t>
  </si>
  <si>
    <t xml:space="preserve">company,nfp,partnership</t>
  </si>
  <si>
    <t xml:space="preserve">0</t>
  </si>
  <si>
    <t xml:space="preserve">regional_wa,all_wa</t>
  </si>
  <si>
    <t xml:space="preserve">inclusive</t>
  </si>
  <si>
    <t xml:space="preserve">agriculture,environmental,regional_development</t>
  </si>
  <si>
    <t xml:space="preserve">supply_chain,compliance</t>
  </si>
  <si>
    <t xml:space="preserve">foundational,emerging,established,advanced</t>
  </si>
  <si>
    <t xml:space="preserve">community_org,matching_funding</t>
  </si>
  <si>
    <t xml:space="preserve">dpird_portal</t>
  </si>
  <si>
    <t xml:space="preserve">enquiries@dpird.wa.gov.au</t>
  </si>
  <si>
    <t xml:space="preserve">6a05fc97-6311-4780-a70f-cb8105c837c1</t>
  </si>
  <si>
    <t xml:space="preserve">Feral Cat Management Grants</t>
  </si>
  <si>
    <t xml:space="preserve">feral-cat-management-grants</t>
  </si>
  <si>
    <t xml:space="preserve">https://www.dpird.wa.gov.au/feral-cat-management-guidelines</t>
  </si>
  <si>
    <t xml:space="preserve">Funding for local governments and biosecurity groups to manage feral cats in alignment with the WA Feral Cat Strategy.</t>
  </si>
  <si>
    <t xml:space="preserve">Grants to manage feral cat populations for registered biosecurity groups and local governments.</t>
  </si>
  <si>
    <t xml:space="preserve">False</t>
  </si>
  <si>
    <t xml:space="preserve">company,nfp</t>
  </si>
  <si>
    <t xml:space="preserve">agriculture,environmental</t>
  </si>
  <si>
    <t xml:space="preserve">biosecurity,compliance</t>
  </si>
  <si>
    <t xml:space="preserve">biosecurity,community_org</t>
  </si>
  <si>
    <t xml:space="preserve">78441f34-dd90-4725-9a86-865637cbc119</t>
  </si>
  <si>
    <t xml:space="preserve">WaterSmart Farms Voucher Program</t>
  </si>
  <si>
    <t xml:space="preserve">watersmart-farms-voucher</t>
  </si>
  <si>
    <t xml:space="preserve">https://www.dpird.wa.gov.au/watersmart-farms-guidelines</t>
  </si>
  <si>
    <t xml:space="preserve">Vouchers to support primary producers in Gnangara groundwater areas to implement water efficiency measures.</t>
  </si>
  <si>
    <t xml:space="preserve">Vouchers for water efficiency improvements for licensed primary producers in Gnangara areas.</t>
  </si>
  <si>
    <t xml:space="preserve">non_competitive</t>
  </si>
  <si>
    <t xml:space="preserve">2026-03-07</t>
  </si>
  <si>
    <t xml:space="preserve">2026-05-03</t>
  </si>
  <si>
    <t xml:space="preserve">sole_trader,company,partnership</t>
  </si>
  <si>
    <t xml:space="preserve">regional_wa</t>
  </si>
  <si>
    <t xml:space="preserve">agriculture,horticulture</t>
  </si>
  <si>
    <t xml:space="preserve">water_management,compliance,certification</t>
  </si>
  <si>
    <t xml:space="preserve">foundational,emerging,established</t>
  </si>
  <si>
    <t xml:space="preserve">water_license,primary_producer</t>
  </si>
  <si>
    <t xml:space="preserve">eligibility_only</t>
  </si>
  <si>
    <t xml:space="preserve">e1d13b32-aea8-4131-b82e-dcf6e85d67c2</t>
  </si>
  <si>
    <t xml:space="preserve">Supply Chain Capacity Program</t>
  </si>
  <si>
    <t xml:space="preserve">supply-chain-capacity-program</t>
  </si>
  <si>
    <t xml:space="preserve">https://www.dpird.wa.gov.au/supply-chain-capacity-guidelines</t>
  </si>
  <si>
    <t xml:space="preserve">Supports regional food and beverage businesses to increase processing or logistics capacity.</t>
  </si>
  <si>
    <t xml:space="preserve">Grants to boost processing and logistics capacity for regional food &amp; beverage businesses.</t>
  </si>
  <si>
    <t xml:space="preserve">2026-02-27</t>
  </si>
  <si>
    <t xml:space="preserve">2026-04-24</t>
  </si>
  <si>
    <t xml:space="preserve">company,sole_trader,partnership</t>
  </si>
  <si>
    <t xml:space="preserve">food_beverage,food_manufacturing,regional_development</t>
  </si>
  <si>
    <t xml:space="preserve">supply_chain,logistics,food_safety</t>
  </si>
  <si>
    <t xml:space="preserve">supply_chain,logistics,gst_registered</t>
  </si>
  <si>
    <t xml:space="preserve">02e54618-cc53-4b38-bdd1-3fb4309faff2</t>
  </si>
  <si>
    <t xml:space="preserve">Noongar Regional Corporations Economic Foundations Grants</t>
  </si>
  <si>
    <t xml:space="preserve">noongar-economic-foundations-grants</t>
  </si>
  <si>
    <t xml:space="preserve">https://dpird.smartygrants.com.au/NRCEFG2</t>
  </si>
  <si>
    <t xml:space="preserve">Supports the 6 Noongar Regional Corporations to undertake economic and business development planning and corporate governance training.</t>
  </si>
  <si>
    <t xml:space="preserve">Economic development grants exclusively for the 6 Noongar Regional Corporations under the South West Native Title Settlement.</t>
  </si>
  <si>
    <t xml:space="preserve">open</t>
  </si>
  <si>
    <t xml:space="preserve">2026-02-16</t>
  </si>
  <si>
    <t xml:space="preserve">2026-06-30</t>
  </si>
  <si>
    <t xml:space="preserve">required</t>
  </si>
  <si>
    <t xml:space="preserve">indigenous_business,regional_development</t>
  </si>
  <si>
    <t xml:space="preserve">brand_development,b2b_sales,compliance</t>
  </si>
  <si>
    <t xml:space="preserve">indigenous_business_elig,community_org</t>
  </si>
  <si>
    <t xml:space="preserve">smartygrants</t>
  </si>
  <si>
    <t xml:space="preserve">8dc3a80b-b148-4689-b8f7-7052c335e3eb</t>
  </si>
  <si>
    <t xml:space="preserve">Building Better Aboriginal Business Supply Chain Voucher</t>
  </si>
  <si>
    <t xml:space="preserve">bbab-supply-chain-voucher</t>
  </si>
  <si>
    <t xml:space="preserve">https://www.dpird.wa.gov.au/bbab-supply-chain-voucher-guidelines</t>
  </si>
  <si>
    <t xml:space="preserve">Vouchers for Aboriginal-owned businesses operating in primary industry or related supply chains, with at least 12 months trading history.</t>
  </si>
  <si>
    <t xml:space="preserve">Supply chain vouchers for Aboriginal-owned primary industry businesses with 12+ months trading.</t>
  </si>
  <si>
    <t xml:space="preserve">2025-12-03</t>
  </si>
  <si>
    <t xml:space="preserve">2026-02-02</t>
  </si>
  <si>
    <t xml:space="preserve">1</t>
  </si>
  <si>
    <t xml:space="preserve">exclusive</t>
  </si>
  <si>
    <t xml:space="preserve">indigenous_business,agriculture,regional_development</t>
  </si>
  <si>
    <t xml:space="preserve">supply_chain,logistics</t>
  </si>
  <si>
    <t xml:space="preserve">indigenous_business_elig,primary_producer</t>
  </si>
  <si>
    <t xml:space="preserve">b6262eb8-a868-4f26-abbf-d411f641d22a</t>
  </si>
  <si>
    <t xml:space="preserve">Value Add Investment Grants — Capital Investment Stream</t>
  </si>
  <si>
    <t xml:space="preserve">value-add-investment-grants-capital</t>
  </si>
  <si>
    <t xml:space="preserve">https://www.dpird.wa.gov.au/value-add-guidelines</t>
  </si>
  <si>
    <t xml:space="preserve">Capital investment grants to support value-adding activities in regional WA businesses.</t>
  </si>
  <si>
    <t xml:space="preserve">Capital grants for value-adding investments in regional WA food and agri businesses.</t>
  </si>
  <si>
    <t xml:space="preserve">2024-03-22</t>
  </si>
  <si>
    <t xml:space="preserve">2024-05-03</t>
  </si>
  <si>
    <t xml:space="preserve">company,sole_trader</t>
  </si>
  <si>
    <t xml:space="preserve">2</t>
  </si>
  <si>
    <t xml:space="preserve">food_beverage,agriculture,regional_development</t>
  </si>
  <si>
    <t xml:space="preserve">supply_chain,logistics,food_safety,process_automation</t>
  </si>
  <si>
    <t xml:space="preserve">emerging,established</t>
  </si>
  <si>
    <t xml:space="preserve">supply_chain,gst_registered,primary_producer</t>
  </si>
  <si>
    <t xml:space="preserve">959d2c36-dc12-4aba-8cf5-27adf9d361c6</t>
  </si>
  <si>
    <t xml:space="preserve">Carbon Farming and Land Restoration Program</t>
  </si>
  <si>
    <t xml:space="preserve">carbon-farming-land-restoration</t>
  </si>
  <si>
    <t xml:space="preserve">https://www.dpird.wa.gov.au/carbon-farming-guidelines</t>
  </si>
  <si>
    <t xml:space="preserve">Grants to support carbon sequestration projects and land restoration activities in Western Australia.</t>
  </si>
  <si>
    <t xml:space="preserve">Grants for carbon farming and land restoration initiatives across WA.</t>
  </si>
  <si>
    <t xml:space="preserve">2024-03-07</t>
  </si>
  <si>
    <t xml:space="preserve">2024-05-20</t>
  </si>
  <si>
    <t xml:space="preserve">company,sole_trader,partnership,trust</t>
  </si>
  <si>
    <t xml:space="preserve">agriculture,environmental,horticulture</t>
  </si>
  <si>
    <t xml:space="preserve">carbon_farming,compliance,certification</t>
  </si>
  <si>
    <t xml:space="preserve">carbon_farming,primary_producer</t>
  </si>
  <si>
    <t xml:space="preserve">cb99f60d-4c36-4616-b96b-e82c682f8aae</t>
  </si>
  <si>
    <t xml:space="preserve">Native Seed and Nursery Development Program Grants</t>
  </si>
  <si>
    <t xml:space="preserve">native-seed-nursery-development</t>
  </si>
  <si>
    <t xml:space="preserve">https://www.dpird.wa.gov.au/native-seed-guidelines</t>
  </si>
  <si>
    <t xml:space="preserve">Grants supporting the development of the native seed and nursery sector in Western Australia.</t>
  </si>
  <si>
    <t xml:space="preserve">Development grants for the WA native seed and nursery industry.</t>
  </si>
  <si>
    <t xml:space="preserve">2022-10-28</t>
  </si>
  <si>
    <t xml:space="preserve">2022-12-09</t>
  </si>
  <si>
    <t xml:space="preserve">company,sole_trader,nfp</t>
  </si>
  <si>
    <t xml:space="preserve">all_wa</t>
  </si>
  <si>
    <t xml:space="preserve">agriculture,horticulture,environmental</t>
  </si>
  <si>
    <t xml:space="preserve">compliance,certification,quality_control</t>
  </si>
  <si>
    <t xml:space="preserve">ca378714-1c70-47fa-a5f3-024ce02cb4ac</t>
  </si>
  <si>
    <t xml:space="preserve">Building Better Aboriginal Businesses Goldfields Grant</t>
  </si>
  <si>
    <t xml:space="preserve">bbab-goldfields-grant</t>
  </si>
  <si>
    <t xml:space="preserve">https://www.dpird.wa.gov.au/bbab-goldfields-guidelines</t>
  </si>
  <si>
    <t xml:space="preserve">Grants for Aboriginal-owned businesses in the Goldfields region of Western Australia.</t>
  </si>
  <si>
    <t xml:space="preserve">Goldfields-specific grants for Aboriginal-owned businesses.</t>
  </si>
  <si>
    <t xml:space="preserve">2022-03-04</t>
  </si>
  <si>
    <t xml:space="preserve">2022-04-28</t>
  </si>
  <si>
    <t xml:space="preserve">brand_development,b2b_sales</t>
  </si>
  <si>
    <t xml:space="preserve">cbf1c474-5b02-4b94-a578-668c3b856aad</t>
  </si>
  <si>
    <t xml:space="preserve">Australian Trusted Trader</t>
  </si>
  <si>
    <t xml:space="preserve">australian-trusted-trader</t>
  </si>
  <si>
    <t xml:space="preserve">Australian Border Force (ABF)</t>
  </si>
  <si>
    <t xml:space="preserve">https://www.abf.gov.au/about-us/what-we-do/trustedtrader</t>
  </si>
  <si>
    <t xml:space="preserve">Free accreditation program for importers, exporters and supply chain service providers with 2+ years in international trade. Provides priority cargo services, dedicated account manager and mutual recognition agreements.</t>
  </si>
  <si>
    <t xml:space="preserve">Free accreditation for import/export businesses — priority customs services + dedicated account manager.</t>
  </si>
  <si>
    <t xml:space="preserve">accreditation</t>
  </si>
  <si>
    <t xml:space="preserve">both</t>
  </si>
  <si>
    <t xml:space="preserve">ongoing</t>
  </si>
  <si>
    <t xml:space="preserve">always_open</t>
  </si>
  <si>
    <t xml:space="preserve">Free accreditation — no monetary grant</t>
  </si>
  <si>
    <t xml:space="preserve">all_wa,national</t>
  </si>
  <si>
    <t xml:space="preserve">retail,professional_services,food_beverage,agriculture</t>
  </si>
  <si>
    <t xml:space="preserve">export,import,supply_chain,international_trade,compliance</t>
  </si>
  <si>
    <t xml:space="preserve">established,advanced</t>
  </si>
  <si>
    <t xml:space="preserve">export,import,international_trade,financially_solvent,international_supply_chain</t>
  </si>
  <si>
    <t xml:space="preserve">abf_portal</t>
  </si>
  <si>
    <t xml:space="preserve">trustedtrader@abf.gov.au</t>
  </si>
  <si>
    <t xml:space="preserve">86fcbc16-6d5e-4b53-a415-26d66ff43d9a</t>
  </si>
  <si>
    <t xml:space="preserve">First Nations Feature Development</t>
  </si>
  <si>
    <t xml:space="preserve">first-nations-feature-development</t>
  </si>
  <si>
    <t xml:space="preserve">Screen Australia</t>
  </si>
  <si>
    <t xml:space="preserve">https://www.screenaustralia.gov.au/fund/first-nations-feature-development/</t>
  </si>
  <si>
    <t xml:space="preserve">Development funding for Aboriginal and Torres Strait Islander filmmakers with demonstrated experience to develop feature film screenplays. Writer and director must be First Nations Australians with minimum 3 eligible drama credits.</t>
  </si>
  <si>
    <t xml:space="preserve">Up to $45K development funding for First Nations filmmakers developing feature film screenplays.</t>
  </si>
  <si>
    <t xml:space="preserve">merit_scored</t>
  </si>
  <si>
    <t xml:space="preserve">creative_entity</t>
  </si>
  <si>
    <t xml:space="preserve">2026-08-20</t>
  </si>
  <si>
    <t xml:space="preserve">rolling_quarterly</t>
  </si>
  <si>
    <t xml:space="preserve">Up to $30K (no producer) or up to $45K (with producer attached)</t>
  </si>
  <si>
    <t xml:space="preserve">brand_development,digital_marketing</t>
  </si>
  <si>
    <t xml:space="preserve">FirstNations@screenaustralia.gov.au</t>
  </si>
  <si>
    <t xml:space="preserve">72cd5ba5-fbe8-427d-958d-f4d6bd2d7971</t>
  </si>
  <si>
    <t xml:space="preserve">Tackle Shop Rebate</t>
  </si>
  <si>
    <t xml:space="preserve">tackle-shop-rebate</t>
  </si>
  <si>
    <t xml:space="preserve">DPIRD / ServiceWA</t>
  </si>
  <si>
    <t xml:space="preserve">https://www.dpird.wa.gov.au/businesses/grants-and-support/TSR/</t>
  </si>
  <si>
    <t xml:space="preserve">Point-of-purchase rebate of up to $50 for WA recreational fishing licence holders purchasing qualifying fishing gear at participating tackle shops. Part of the Fisheries Support Package.</t>
  </si>
  <si>
    <t xml:space="preserve">Up to $50 rebate on fishing gear for licensed recreational anglers in WA — claim via ServiceWA App.</t>
  </si>
  <si>
    <t xml:space="preserve">rebate</t>
  </si>
  <si>
    <t xml:space="preserve">individual</t>
  </si>
  <si>
    <t xml:space="preserve">2026-05-18</t>
  </si>
  <si>
    <t xml:space="preserve">2026-11-17</t>
  </si>
  <si>
    <t xml:space="preserve">Up to $50 per person on qualifying fishing gear</t>
  </si>
  <si>
    <t xml:space="preserve">servicewa_app</t>
  </si>
  <si>
    <t xml:space="preserve">5dcd6acd-9891-4fef-88c6-e9d7ab46b44c</t>
  </si>
  <si>
    <t xml:space="preserve">ASBAS Digital Solutions Round 3</t>
  </si>
  <si>
    <t xml:space="preserve">asbas-digital-solutions-round-3</t>
  </si>
  <si>
    <t xml:space="preserve">DISR / Business Grants Hub</t>
  </si>
  <si>
    <t xml:space="preserve">https://business.gov.au/grants-and-programs/australian-small-business-advisory-services-digital-solutions-round-3</t>
  </si>
  <si>
    <t xml:space="preserve">Funds service providers to deliver digital advisory services (workshops, mentoring) to small businesses across Australia. 5 priority capabilities: digitalisation, social media/marketing, business software, AI, cybersecurity. Up to 5 hours one-to-one mentoring at $110/session for SMEs.</t>
  </si>
  <si>
    <t xml:space="preserve">Subsidised digital advisory and training for SMEs (≤19 employees) — 5 hrs mentoring at $110.</t>
  </si>
  <si>
    <t xml:space="preserve">advisory_subsidy</t>
  </si>
  <si>
    <t xml:space="preserve">advisory</t>
  </si>
  <si>
    <t xml:space="preserve">service_provider</t>
  </si>
  <si>
    <t xml:space="preserve">2025-10-27</t>
  </si>
  <si>
    <t xml:space="preserve">annual_competitive</t>
  </si>
  <si>
    <t xml:space="preserve">$110/session for SMEs; service providers compete for area grants up to $8.8M</t>
  </si>
  <si>
    <t xml:space="preserve">19</t>
  </si>
  <si>
    <t xml:space="preserve">retail,food_beverage,construction,professional_services,agriculture</t>
  </si>
  <si>
    <t xml:space="preserve">digital_marketing,cybersecurity,ai_tools,business_software,ecommerce</t>
  </si>
  <si>
    <t xml:space="preserve">foundational,emerging</t>
  </si>
  <si>
    <t xml:space="preserve">no_digital_presence,cybersecurity,ai_tools,digital_marketing,business_software</t>
  </si>
  <si>
    <t xml:space="preserve">business_grants_hub</t>
  </si>
  <si>
    <t xml:space="preserve">1300 13 28 46</t>
  </si>
  <si>
    <t xml:space="preserve">559c16fa-8898-4be0-bc2b-798951aabe4a</t>
  </si>
  <si>
    <t xml:space="preserve">Digital Manufacturing on a Shoestring</t>
  </si>
  <si>
    <t xml:space="preserve">digital-manufacturing-shoestring</t>
  </si>
  <si>
    <t xml:space="preserve">https://www.dpird.wa.gov.au/businesses/food-and-beverage/food-manufacturing/digital-manufacturing-on-a-shoestring/</t>
  </si>
  <si>
    <t xml:space="preserve">SME-focused advisory program to help small food manufacturers explore how to apply practical, low-cost digital tools to real business challenges. Targets Food &amp; Beverage manufacturers in Western Australia.</t>
  </si>
  <si>
    <t xml:space="preserve">Free advisory program helping WA food manufacturers adopt low-cost digital tools.</t>
  </si>
  <si>
    <t xml:space="preserve">Free advisory program — no direct monetary grant</t>
  </si>
  <si>
    <t xml:space="preserve">199</t>
  </si>
  <si>
    <t xml:space="preserve">food_beverage,food_manufacturing</t>
  </si>
  <si>
    <t xml:space="preserve">inventory_software,process_automation,business_software,food_safety,digital_marketing</t>
  </si>
  <si>
    <t xml:space="preserve">no_digital_presence,inventory_software,process_automation,business_software,food_safety</t>
  </si>
  <si>
    <t xml:space="preserve">grant_id</t>
  </si>
  <si>
    <t xml:space="preserve">grant_name</t>
  </si>
  <si>
    <t xml:space="preserve">tag_id</t>
  </si>
  <si>
    <t xml:space="preserve">tag_name</t>
  </si>
  <si>
    <t xml:space="preserve">email</t>
  </si>
  <si>
    <t xml:space="preserve">phone</t>
  </si>
  <si>
    <t xml:space="preserve">service_types</t>
  </si>
  <si>
    <t xml:space="preserve">dml_levels</t>
  </si>
  <si>
    <t xml:space="preserve">location</t>
  </si>
  <si>
    <t xml:space="preserve">operates_online</t>
  </si>
  <si>
    <t xml:space="preserve">dpird_approved</t>
  </si>
  <si>
    <t xml:space="preserve">approval_date</t>
  </si>
  <si>
    <t xml:space="preserve">4955acc6-2670-4e7b-87e6-06dc95e1853b</t>
  </si>
  <si>
    <t xml:space="preserve">Digital Solutions Group WA</t>
  </si>
  <si>
    <t xml:space="preserve">digital-solutions-group-wa</t>
  </si>
  <si>
    <t xml:space="preserve">Perth-based digital transformation consultancy specialising in SME digital adoption, e-commerce setup, CRM implementation and digital marketing strategy.</t>
  </si>
  <si>
    <t xml:space="preserve">Digital adoption consulting for WA SMEs — website, e-commerce, CRM, marketing.</t>
  </si>
  <si>
    <t xml:space="preserve">https://www.digitalsolutionswa.com.au</t>
  </si>
  <si>
    <t xml:space="preserve">info@digitalsolutionswa.com.au</t>
  </si>
  <si>
    <t xml:space="preserve">+61 8 9XXX XXXX</t>
  </si>
  <si>
    <t xml:space="preserve">implementation,consulting,training</t>
  </si>
  <si>
    <t xml:space="preserve">retail,food_beverage,professional_services,construction</t>
  </si>
  <si>
    <t xml:space="preserve">no_digital_presence,website,ecommerce,crm,digital_marketing,social_media,business_software</t>
  </si>
  <si>
    <t xml:space="preserve">metro_wa,regional_wa</t>
  </si>
  <si>
    <t xml:space="preserve">active</t>
  </si>
  <si>
    <t xml:space="preserve">2025-06-01</t>
  </si>
  <si>
    <t xml:space="preserve">bf323aaa-8fd7-4781-b138-d4ffa878a794</t>
  </si>
  <si>
    <t xml:space="preserve">AgriDigital WA</t>
  </si>
  <si>
    <t xml:space="preserve">agridigital-wa</t>
  </si>
  <si>
    <t xml:space="preserve">Specialist consultancy focused on digital solutions for agricultural and food &amp; beverage businesses in Western Australia. Expertise in IoT, supply chain visibility, food safety compliance systems and inventory management.</t>
  </si>
  <si>
    <t xml:space="preserve">Digital solutions for WA agriculture and food &amp; beverage — IoT, supply chain, compliance.</t>
  </si>
  <si>
    <t xml:space="preserve">https://www.agridigitalwa.com.au</t>
  </si>
  <si>
    <t xml:space="preserve">info@agridigitalwa.com.au</t>
  </si>
  <si>
    <t xml:space="preserve">implementation,consulting</t>
  </si>
  <si>
    <t xml:space="preserve">agriculture,food_beverage,food_manufacturing,horticulture,aquaculture</t>
  </si>
  <si>
    <t xml:space="preserve">inventory_software,supply_chain,food_safety,process_automation,compliance,certification,water_management</t>
  </si>
  <si>
    <t xml:space="preserve">2025-03-15</t>
  </si>
  <si>
    <t xml:space="preserve">435d2deb-1a89-4261-87ab-767ce5e38e3b</t>
  </si>
  <si>
    <t xml:space="preserve">Indigenous Business Solutions WA</t>
  </si>
  <si>
    <t xml:space="preserve">indigenous-business-solutions-wa</t>
  </si>
  <si>
    <t xml:space="preserve">Aboriginal-owned consulting firm providing business development, digital advisory and capacity building services specifically for Indigenous businesses across Western Australia.</t>
  </si>
  <si>
    <t xml:space="preserve">Business development and digital advisory for Indigenous businesses across WA.</t>
  </si>
  <si>
    <t xml:space="preserve">https://www.ibswa.com.au</t>
  </si>
  <si>
    <t xml:space="preserve">info@ibswa.com.au</t>
  </si>
  <si>
    <t xml:space="preserve">consulting,training</t>
  </si>
  <si>
    <t xml:space="preserve">brand_development,b2b_sales,digital_marketing,business_software,compliance</t>
  </si>
  <si>
    <t xml:space="preserve">2025-07-01</t>
  </si>
  <si>
    <t xml:space="preserve">20bcd5bf-27c6-4a6b-b08b-2b3ef785d481</t>
  </si>
  <si>
    <t xml:space="preserve">WA Export Advisory Services</t>
  </si>
  <si>
    <t xml:space="preserve">wa-export-advisory-services</t>
  </si>
  <si>
    <t xml:space="preserve">Specialists in international trade strategy, export market development and supply chain compliance for WA exporters. Supports businesses seeking Australian Trusted Trader accreditation.</t>
  </si>
  <si>
    <t xml:space="preserve">Export strategy, market development and ATT accreditation support for WA businesses.</t>
  </si>
  <si>
    <t xml:space="preserve">https://www.waexportadvisory.com.au</t>
  </si>
  <si>
    <t xml:space="preserve">info@waexportadvisory.com.au</t>
  </si>
  <si>
    <t xml:space="preserve">consulting,advisory</t>
  </si>
  <si>
    <t xml:space="preserve">agriculture,food_beverage,retail,professional_services</t>
  </si>
  <si>
    <t xml:space="preserve">export,import,international_trade,supply_chain,compliance,certification,financially_solvent,international_supply_chain</t>
  </si>
  <si>
    <t xml:space="preserve">metro_wa</t>
  </si>
  <si>
    <t xml:space="preserve">2025-09-01</t>
  </si>
  <si>
    <t xml:space="preserve">f22a7ac9-1dd1-47e3-a74a-c9abb97bb041</t>
  </si>
  <si>
    <t xml:space="preserve">CyberSecure WA</t>
  </si>
  <si>
    <t xml:space="preserve">cybersecure-wa</t>
  </si>
  <si>
    <t xml:space="preserve">Cybersecurity advisory firm providing risk assessments, staff training, security audits and implementation support for WA small businesses. ASBAS Digital Solutions approved provider.</t>
  </si>
  <si>
    <t xml:space="preserve">Cybersecurity risk assessment, training and implementation for WA small businesses.</t>
  </si>
  <si>
    <t xml:space="preserve">https://www.cybersecurewa.com.au</t>
  </si>
  <si>
    <t xml:space="preserve">info@cybersecurewa.com.au</t>
  </si>
  <si>
    <t xml:space="preserve">consulting,training,audit</t>
  </si>
  <si>
    <t xml:space="preserve">retail,professional_services,food_beverage,construction</t>
  </si>
  <si>
    <t xml:space="preserve">cybersecurity,cloud_services,compliance,business_software</t>
  </si>
  <si>
    <t xml:space="preserve">2025-04-20</t>
  </si>
  <si>
    <t xml:space="preserve">cb82fe6a-b4dc-4cf7-830d-c8d4e0703313</t>
  </si>
  <si>
    <t xml:space="preserve">FoodTech WA</t>
  </si>
  <si>
    <t xml:space="preserve">foodtech-wa</t>
  </si>
  <si>
    <t xml:space="preserve">Technology consultancy focused exclusively on the food and beverage manufacturing sector. Specialises in Digital Shoestring implementations, production management software, HACCP digital compliance and lean manufacturing digitalisation.</t>
  </si>
  <si>
    <t xml:space="preserve">Digital transformation for WA food &amp; beverage manufacturers — Shoestring approach.</t>
  </si>
  <si>
    <t xml:space="preserve">https://www.foodtechwa.com.au</t>
  </si>
  <si>
    <t xml:space="preserve">info@foodtechwa.com.au</t>
  </si>
  <si>
    <t xml:space="preserve">inventory_software,process_automation,food_safety,business_software,no_digital_presence,quality_control</t>
  </si>
  <si>
    <t xml:space="preserve">2025-11-01</t>
  </si>
  <si>
    <t xml:space="preserve">679e3b5b-75a8-47c0-b9f7-6ea40b9409ae</t>
  </si>
  <si>
    <t xml:space="preserve">Small Business Development Corporation (SBDC)</t>
  </si>
  <si>
    <t xml:space="preserve">sbdc-wa</t>
  </si>
  <si>
    <t xml:space="preserve">WA Government agency providing free and low-cost business advisory, training and mentoring services to small businesses across Western Australia. Delivers ASBAS Digital Solutions program.</t>
  </si>
  <si>
    <t xml:space="preserve">Free business advisory and digital training for WA small businesses — government backed.</t>
  </si>
  <si>
    <t xml:space="preserve">https://www.smallbusiness.wa.gov.au</t>
  </si>
  <si>
    <t xml:space="preserve">advice@sbdc.wa.gov.au</t>
  </si>
  <si>
    <t xml:space="preserve">1800 199 125</t>
  </si>
  <si>
    <t xml:space="preserve">consulting,training,advisory</t>
  </si>
  <si>
    <t xml:space="preserve">retail,food_beverage,construction,professional_services,agriculture,regional_development</t>
  </si>
  <si>
    <t xml:space="preserve">no_digital_presence,business_software,digital_marketing,ecommerce,social_media,cybersecurity</t>
  </si>
  <si>
    <t xml:space="preserve">2024-01-01</t>
  </si>
  <si>
    <t xml:space="preserve">provider_id</t>
  </si>
  <si>
    <t xml:space="preserve">provider_name</t>
  </si>
  <si>
    <t xml:space="preserve">SBDC WA</t>
  </si>
  <si>
    <t xml:space="preserve">notes</t>
  </si>
  <si>
    <t xml:space="preserve">Primary implementation partner for the Digital Shoestring program.</t>
  </si>
  <si>
    <t xml:space="preserve">Supply chain and inventory digital solutions for food manufacturers.</t>
  </si>
  <si>
    <t xml:space="preserve">Business advisory and ASBAS training complement to the program.</t>
  </si>
  <si>
    <t xml:space="preserve">Approved ASBAS service delivery organisation for WA.</t>
  </si>
  <si>
    <t xml:space="preserve">Delivers cybersecurity advisory sessions under ASBAS.</t>
  </si>
  <si>
    <t xml:space="preserve">Delivers digital adoption and marketing sessions under ASBAS.</t>
  </si>
  <si>
    <t xml:space="preserve">Provides ATT application support and international trade consulting.</t>
  </si>
  <si>
    <t xml:space="preserve">Supports digital supply chain optimisation for food &amp; beverage grantees.</t>
  </si>
  <si>
    <t xml:space="preserve">Business development advisory for Noongar corporations.</t>
  </si>
  <si>
    <t xml:space="preserve">Advisory support for Aboriginal businesses accessing the voucher.</t>
  </si>
  <si>
    <t xml:space="preserve">text</t>
  </si>
  <si>
    <t xml:space="preserve">helper_text</t>
  </si>
  <si>
    <t xml:space="preserve">dimension</t>
  </si>
  <si>
    <t xml:space="preserve">dimension_weight</t>
  </si>
  <si>
    <t xml:space="preserve">answer_type</t>
  </si>
  <si>
    <t xml:space="preserve">options_summary</t>
  </si>
  <si>
    <t xml:space="preserve">sector_filter</t>
  </si>
  <si>
    <t xml:space="preserve">show_if_logic</t>
  </si>
  <si>
    <t xml:space="preserve">is_required</t>
  </si>
  <si>
    <t xml:space="preserve">8c460c41-00fb-4f07-9ddb-5c64dd25333d</t>
  </si>
  <si>
    <t xml:space="preserve">What is the primary industry sector of your business?</t>
  </si>
  <si>
    <t xml:space="preserve">Select the category that best describes your main business activity.</t>
  </si>
  <si>
    <t xml:space="preserve">profile</t>
  </si>
  <si>
    <t xml:space="preserve">single_choice</t>
  </si>
  <si>
    <t xml:space="preserve">Agriculture | Food &amp; Beverage | Retail &amp; Wholesale | Construction | Professional Services | Aquaculture | Horticulture | Environmental | Indigenous Business | Creative Industries | Other</t>
  </si>
  <si>
    <t xml:space="preserve">84f1d361-3927-4dec-b317-9aba91c8c7ed</t>
  </si>
  <si>
    <t xml:space="preserve">How many people does your business currently employ?</t>
  </si>
  <si>
    <t xml:space="preserve">Include full-time, part-time and casual employees.</t>
  </si>
  <si>
    <t xml:space="preserve">1–4 (micro) | 5–19 (small) | 20–49 (small-medium) | 50–199 (medium) | 200+ (large)</t>
  </si>
  <si>
    <t xml:space="preserve">f9c27b76-b29f-4e8b-be9b-28d28993f925</t>
  </si>
  <si>
    <t xml:space="preserve">How long has your business been operating?</t>
  </si>
  <si>
    <t xml:space="preserve">Count from the date of your ABN registration or trading commencement.</t>
  </si>
  <si>
    <t xml:space="preserve">Less than 12 months | 1–2 years | 2–5 years | More than 5 years</t>
  </si>
  <si>
    <t xml:space="preserve">c3802e03-e6cc-4055-af04-39f90648d755</t>
  </si>
  <si>
    <t xml:space="preserve">What is your approximate annual turnover?</t>
  </si>
  <si>
    <t xml:space="preserve">Use your most recent full financial year.</t>
  </si>
  <si>
    <t xml:space="preserve">Under $75,000 | $75K–$250K | $250K–$1M | $1M–$5M | More than $5M</t>
  </si>
  <si>
    <t xml:space="preserve">9b48b99d-4fbf-4f9c-938f-dd39bf2d5835</t>
  </si>
  <si>
    <t xml:space="preserve">What is your business structure?</t>
  </si>
  <si>
    <t xml:space="preserve">Sole trader | Partnership | Company (Pty Ltd) | Trust | Not-for-profit | Indigenous Corporation</t>
  </si>
  <si>
    <t xml:space="preserve">cdc29374-76d4-4618-88b8-1225aa236fff</t>
  </si>
  <si>
    <t xml:space="preserve">Where is your business primarily located?</t>
  </si>
  <si>
    <t xml:space="preserve">Perth Metro (within 50km of CBD) | Regional WA | Remote WA</t>
  </si>
  <si>
    <t xml:space="preserve">7f6a9b44-76b5-4353-96c7-eff223ec6a4f</t>
  </si>
  <si>
    <t xml:space="preserve">Is your business Aboriginal or Torres Strait Islander owned (50%+ ownership)?</t>
  </si>
  <si>
    <t xml:space="preserve">This helps us identify programs with Indigenous eligibility requirements.</t>
  </si>
  <si>
    <t xml:space="preserve">boolean</t>
  </si>
  <si>
    <t xml:space="preserve">Yes | No</t>
  </si>
  <si>
    <t xml:space="preserve">f65fb95d-35c5-488d-bd1e-1907e3d52be5</t>
  </si>
  <si>
    <t xml:space="preserve">Does your business have a website?</t>
  </si>
  <si>
    <t xml:space="preserve">Count any web presence where customers can find information about your business.</t>
  </si>
  <si>
    <t xml:space="preserve">No website (score: 0) | Basic informational site (score: 25) | Active website with contact/booking (score: 50) | Full e-commerce website (score: 100)</t>
  </si>
  <si>
    <t xml:space="preserve">8459eb2b-61b6-4b1d-9700-494a7d7cf762</t>
  </si>
  <si>
    <t xml:space="preserve">How does your business use social media?</t>
  </si>
  <si>
    <t xml:space="preserve">Consider Facebook, Instagram, LinkedIn or any other platform.</t>
  </si>
  <si>
    <t xml:space="preserve">No social media presence (score: 0) | Personal profiles only (score: 10) | Business page, occasional posts (score: 30) | Regular posting and community engagement (score: 70) | Paid ads and analytics (score: 100)</t>
  </si>
  <si>
    <t xml:space="preserve">74156ce6-3521-4393-aa35-af16ab883731</t>
  </si>
  <si>
    <t xml:space="preserve">How do you manage your customer relationships and contact information?</t>
  </si>
  <si>
    <t xml:space="preserve">Pen and paper or memory (score: 0) | Spreadsheet/Excel (score: 20) | Email platform only (score: 40) | Dedicated CRM software (score: 80) | CRM integrated with sales pipeline (score: 100)</t>
  </si>
  <si>
    <t xml:space="preserve">c5de7ea5-019c-4931-9aaa-293a1ef725a7</t>
  </si>
  <si>
    <t xml:space="preserve">How do you manage stock and inventory?</t>
  </si>
  <si>
    <t xml:space="preserve">Skip if your business does not hold physical stock.</t>
  </si>
  <si>
    <t xml:space="preserve">Manual counting / spreadsheet (score: 0) | Basic accounting software (score: 30) | Dedicated inventory software (score: 70) | Automated real-time inventory system (score: 100)</t>
  </si>
  <si>
    <t xml:space="preserve">agriculture,food_beverage,food_manufacturing,retail,aquaculture,horticulture</t>
  </si>
  <si>
    <t xml:space="preserve">0ab6a501-e96a-41b0-bac2-c9b1844eb887</t>
  </si>
  <si>
    <t xml:space="preserve">How do you process sales and payments?</t>
  </si>
  <si>
    <t xml:space="preserve">Cash only (score: 0) | Basic EFTPOS only (score: 20) | POS system with sales reporting (score: 60) | Integrated POS + online + accounting (score: 100)</t>
  </si>
  <si>
    <t xml:space="preserve">retail,food_beverage</t>
  </si>
  <si>
    <t xml:space="preserve">cc25ccae-7814-46c5-8cc7-a914d3b804c1</t>
  </si>
  <si>
    <t xml:space="preserve">Does your business use cloud-based software or services?</t>
  </si>
  <si>
    <t xml:space="preserve">Examples: Microsoft 365, Google Workspace, Xero, MYOB, Dropbox.</t>
  </si>
  <si>
    <t xml:space="preserve">No cloud software at all (score: 0) | 1 cloud tool (score: 25) | 2–3 cloud tools (score: 60) | 4+ cloud tools integrated (score: 100)</t>
  </si>
  <si>
    <t xml:space="preserve">b395c272-8c05-4554-9a29-2f585971967a</t>
  </si>
  <si>
    <t xml:space="preserve">How does your business manage cybersecurity and data protection?</t>
  </si>
  <si>
    <t xml:space="preserve">No formal measures in place (score: 0) | Basic antivirus only (score: 15) | Password policies + antivirus (score: 40) | Multi-factor authentication + regular backups (score: 70) | Formal security policy + staff training + incident plan (score: 100)</t>
  </si>
  <si>
    <t xml:space="preserve">d3521b15-e622-4979-8048-adea1d85e795</t>
  </si>
  <si>
    <t xml:space="preserve">Does your business currently use or plan to adopt Artificial Intelligence tools?</t>
  </si>
  <si>
    <t xml:space="preserve">Examples: ChatGPT, AI image tools, predictive analytics, automated chatbots.</t>
  </si>
  <si>
    <t xml:space="preserve">No awareness or interest (score: 0) | Aware but not using (score: 10) | Using basic AI tools occasionally (score: 40) | AI integrated into regular operations (score: 80) | AI drives key business decisions (score: 100)</t>
  </si>
  <si>
    <t xml:space="preserve">df1a93d0-5754-4965-86de-1ebbd99f6aa8</t>
  </si>
  <si>
    <t xml:space="preserve">Do you have documented processes for your key business operations?</t>
  </si>
  <si>
    <t xml:space="preserve">Written SOPs, checklists or guides that staff can follow.</t>
  </si>
  <si>
    <t xml:space="preserve">No documentation — all in owner's head (score: 0) | Some informal notes (score: 20) | Key processes partially documented (score: 50) | All main processes documented and followed (score: 80) | Full quality management system (score: 100)</t>
  </si>
  <si>
    <t xml:space="preserve">8ce85767-13c4-4c33-b482-9f14e9999ae6</t>
  </si>
  <si>
    <t xml:space="preserve">How visible and manageable is your supply chain?</t>
  </si>
  <si>
    <t xml:space="preserve">Skip if your business does not rely on a supply chain.</t>
  </si>
  <si>
    <t xml:space="preserve">No visibility — reactive management (score: 0) | Basic supplier list (score: 20) | Regular supplier communication + lead times tracked (score: 50) | Digital supply chain tracking (score: 80) | Fully integrated supply chain data (score: 100)</t>
  </si>
  <si>
    <t xml:space="preserve">agriculture,food_beverage,food_manufacturing,retail,construction</t>
  </si>
  <si>
    <t xml:space="preserve">c637e1cb-5920-4e26-957f-818d98a85a58</t>
  </si>
  <si>
    <t xml:space="preserve">How does your business manage product or service quality?</t>
  </si>
  <si>
    <t xml:space="preserve">No formal quality checks (score: 0) | Informal spot checks (score: 20) | Regular quality reviews (score: 50) | Documented QC procedures (score: 75) | Certified quality management system (score: 100)</t>
  </si>
  <si>
    <t xml:space="preserve">ede1c8e5-c22c-4ec0-94d8-67f071405d4c</t>
  </si>
  <si>
    <t xml:space="preserve">How does your business manage regulatory compliance?</t>
  </si>
  <si>
    <t xml:space="preserve">Consider food safety, environmental, workplace safety and sector-specific regulations.</t>
  </si>
  <si>
    <t xml:space="preserve">Limited awareness of requirements (score: 0) | Know requirements, manage manually (score: 30) | All requirements met, some documentation (score: 60) | Fully documented and audited compliance (score: 100)</t>
  </si>
  <si>
    <t xml:space="preserve">c9c149ec-3602-4a71-b346-aafe62b40294</t>
  </si>
  <si>
    <t xml:space="preserve">Which repetitive operational tasks have you automated or digitised?</t>
  </si>
  <si>
    <t xml:space="preserve">Select all that apply.</t>
  </si>
  <si>
    <t xml:space="preserve">multi_choice</t>
  </si>
  <si>
    <t xml:space="preserve">None automated | Invoicing/accounting | Payroll | Staff scheduling | Customer communications | Production/manufacturing | Reporting and analytics</t>
  </si>
  <si>
    <t xml:space="preserve">bb1475ca-3764-4c4b-a36e-4566667de2c4</t>
  </si>
  <si>
    <t xml:space="preserve">Does your business currently sell products or services online?</t>
  </si>
  <si>
    <t xml:space="preserve">No online sales (score: 0) | Third-party marketplace only (eBay, Amazon) (score: 25) | Own website with online sales (score: 60) | Multiple online channels integrated (score: 100)</t>
  </si>
  <si>
    <t xml:space="preserve">599ae490-841a-4927-b443-da05cf3b5b02</t>
  </si>
  <si>
    <t xml:space="preserve">Does your business export products or services internationally?</t>
  </si>
  <si>
    <t xml:space="preserve">No — domestic only (score: 0) | Exploring export opportunities (score: 10) | Occasional/ad-hoc exports (score: 40) | Regular export program (score: 70) | Established international markets (score: 100)</t>
  </si>
  <si>
    <t xml:space="preserve">eb6625cf-8f57-472b-8c7d-8068e9d1fc01</t>
  </si>
  <si>
    <t xml:space="preserve">What is your primary method of acquiring new customers?</t>
  </si>
  <si>
    <t xml:space="preserve">Select the most important channel for your business.</t>
  </si>
  <si>
    <t xml:space="preserve">Word of mouth only | Print/radio/TV advertising | Own website/SEO | Social media | Online ads (Google/Facebook) | Trade shows and events | Government/business directories | Other digital channels</t>
  </si>
  <si>
    <t xml:space="preserve">1b94b688-a742-4471-a095-924d3f5e45e2</t>
  </si>
  <si>
    <t xml:space="preserve">Do you have a documented digital marketing strategy?</t>
  </si>
  <si>
    <t xml:space="preserve">A written plan for how you attract and retain customers online.</t>
  </si>
  <si>
    <t xml:space="preserve">No strategy (score: 0) | Informal approach (score: 15) | Basic written plan (score: 40) | Documented strategy with KPIs (score: 75) | Full digital marketing strategy with regular review (score: 100)</t>
  </si>
  <si>
    <t xml:space="preserve">64766194-48dc-4616-8512-8cb007bc6308</t>
  </si>
  <si>
    <t xml:space="preserve">How would you describe your brand's digital presence?</t>
  </si>
  <si>
    <t xml:space="preserve">Consider website, social media, online reviews and search visibility.</t>
  </si>
  <si>
    <t xml:space="preserve">No recognisable digital presence (score: 0) | Basic presence, inconsistent (score: 20) | Consistent branding across channels (score: 50) | Strong digital brand with active engagement (score: 80) | Market-leading digital brand (score: 100)</t>
  </si>
  <si>
    <t xml:space="preserve">question_id</t>
  </si>
  <si>
    <t xml:space="preserve">question_text_short</t>
  </si>
  <si>
    <t xml:space="preserve">How do you manage your customer relationships?</t>
  </si>
  <si>
    <t xml:space="preserve">Does your business use cloud-based software?</t>
  </si>
  <si>
    <t xml:space="preserve">How does your business manage cybersecurity?</t>
  </si>
  <si>
    <t xml:space="preserve">AI tools usage?</t>
  </si>
  <si>
    <t xml:space="preserve">Do you have documented processes?</t>
  </si>
  <si>
    <t xml:space="preserve">How visible is your supply chain?</t>
  </si>
  <si>
    <t xml:space="preserve">How do you manage quality?</t>
  </si>
  <si>
    <t xml:space="preserve">How do you manage regulatory compliance?</t>
  </si>
  <si>
    <t xml:space="preserve">Does your business sell online?</t>
  </si>
  <si>
    <t xml:space="preserve">Does your business export?</t>
  </si>
  <si>
    <t xml:space="preserve">Do you have a digital marketing strategy?</t>
  </si>
  <si>
    <t xml:space="preserve">Is your business Indigenous owned?</t>
  </si>
  <si>
    <t xml:space="preserve">role</t>
  </si>
  <si>
    <t xml:space="preserve">region</t>
  </si>
  <si>
    <t xml:space="preserve">4c378b9c-8785-47ea-8dc7-fba9fb066c67</t>
  </si>
  <si>
    <t xml:space="preserve">Sarah Mitchell</t>
  </si>
  <si>
    <t xml:space="preserve">s.mitchell@dpird.wa.gov.au</t>
  </si>
  <si>
    <t xml:space="preserve">admin</t>
  </si>
  <si>
    <t xml:space="preserve">All WA</t>
  </si>
  <si>
    <t xml:space="preserve">863a1c4b-1999-4f3c-bb89-3fe37b2433c8</t>
  </si>
  <si>
    <t xml:space="preserve">James Nguyen</t>
  </si>
  <si>
    <t xml:space="preserve">j.nguyen@dpird.wa.gov.au</t>
  </si>
  <si>
    <t xml:space="preserve">advisor</t>
  </si>
  <si>
    <t xml:space="preserve">Perth Metro</t>
  </si>
  <si>
    <t xml:space="preserve">99902b05-02dc-44cc-b563-7e74504007a4</t>
  </si>
  <si>
    <t xml:space="preserve">Priya Sharma</t>
  </si>
  <si>
    <t xml:space="preserve">p.sharma@dpird.wa.gov.au</t>
  </si>
  <si>
    <t xml:space="preserve">South West WA</t>
  </si>
  <si>
    <t xml:space="preserve">f79bcff0-510d-4040-8710-0c27b32cbf07</t>
  </si>
  <si>
    <t xml:space="preserve">Tom Watkins</t>
  </si>
  <si>
    <t xml:space="preserve">t.watkins@dpird.wa.gov.au</t>
  </si>
  <si>
    <t xml:space="preserve">Wheatbelt &amp; Goldfields</t>
  </si>
  <si>
    <t xml:space="preserve">e4358404-8482-4863-b264-f223203b3917</t>
  </si>
  <si>
    <t xml:space="preserve">Leanne Cooper</t>
  </si>
  <si>
    <t xml:space="preserve">l.cooper@dpird.wa.gov.au</t>
  </si>
  <si>
    <t xml:space="preserve">manager</t>
  </si>
  <si>
    <t xml:space="preserve">session_mode</t>
  </si>
  <si>
    <t xml:space="preserve">business_name</t>
  </si>
  <si>
    <t xml:space="preserve">contact_name</t>
  </si>
  <si>
    <t xml:space="preserve">sector</t>
  </si>
  <si>
    <t xml:space="preserve">business_structure</t>
  </si>
  <si>
    <t xml:space="preserve">employee_count</t>
  </si>
  <si>
    <t xml:space="preserve">annual_turnover_range</t>
  </si>
  <si>
    <t xml:space="preserve">business_age_years</t>
  </si>
  <si>
    <t xml:space="preserve">has_abn</t>
  </si>
  <si>
    <t xml:space="preserve">is_indigenous</t>
  </si>
  <si>
    <t xml:space="preserve">operations_score</t>
  </si>
  <si>
    <t xml:space="preserve">digital_score</t>
  </si>
  <si>
    <t xml:space="preserve">market_score</t>
  </si>
  <si>
    <t xml:space="preserve">total_score</t>
  </si>
  <si>
    <t xml:space="preserve">dml_level</t>
  </si>
  <si>
    <t xml:space="preserve">activated_tags</t>
  </si>
  <si>
    <t xml:space="preserve">completed_at</t>
  </si>
  <si>
    <t xml:space="preserve">f1b20b02-dcc2-4286-80eb-a465c4bea165</t>
  </si>
  <si>
    <t xml:space="preserve">self_service</t>
  </si>
  <si>
    <t xml:space="preserve">Sunshine Bakery Perth</t>
  </si>
  <si>
    <t xml:space="preserve">Maria Santos</t>
  </si>
  <si>
    <t xml:space="preserve">maria@sunshinebakery.com.au</t>
  </si>
  <si>
    <t xml:space="preserve">sole_trader</t>
  </si>
  <si>
    <t xml:space="preserve">$75K–$250K</t>
  </si>
  <si>
    <t xml:space="preserve">no_digital_presence,food_safety,foundational,regional_market</t>
  </si>
  <si>
    <t xml:space="preserve">completed</t>
  </si>
  <si>
    <t xml:space="preserve">2026-08-10 14:32:00</t>
  </si>
  <si>
    <t xml:space="preserve">69fe044b-20ae-4dac-9924-ce5043ec65f0</t>
  </si>
  <si>
    <t xml:space="preserve">consultant_guided</t>
  </si>
  <si>
    <t xml:space="preserve">Greenfields Organics WA</t>
  </si>
  <si>
    <t xml:space="preserve">David Kowalski</t>
  </si>
  <si>
    <t xml:space="preserve">david@greenfieldswa.com.au</t>
  </si>
  <si>
    <t xml:space="preserve">company</t>
  </si>
  <si>
    <t xml:space="preserve">$1M–$5M</t>
  </si>
  <si>
    <t xml:space="preserve">website,social_media,supply_chain,export,established,certification</t>
  </si>
  <si>
    <t xml:space="preserve">2026-08-12 10:15:00</t>
  </si>
  <si>
    <t xml:space="preserve">5c799aac-8dce-4fd5-a402-e3e803bb7e94</t>
  </si>
  <si>
    <t xml:space="preserve">Kimberley Indigenous Crafts</t>
  </si>
  <si>
    <t xml:space="preserve">Aunty Rose Djanbi</t>
  </si>
  <si>
    <t xml:space="preserve">rose@kimberleycrafts.com.au</t>
  </si>
  <si>
    <t xml:space="preserve">indigenous_business_elig,no_digital_presence,brand_development,foundational,indigenous_market</t>
  </si>
  <si>
    <t xml:space="preserve">2026-08-13 16:45:00</t>
  </si>
  <si>
    <t xml:space="preserve">session_id</t>
  </si>
  <si>
    <t xml:space="preserve">answer_value</t>
  </si>
  <si>
    <t xml:space="preserve">tags_activated</t>
  </si>
  <si>
    <t xml:space="preserve">score_contribution</t>
  </si>
  <si>
    <t xml:space="preserve">cb27f723-ea3d-4ba6-8c71-fc987c0787a7</t>
  </si>
  <si>
    <t xml:space="preserve">Primary sector</t>
  </si>
  <si>
    <t xml:space="preserve">010929fc-2318-497b-bca9-8528848d2a90</t>
  </si>
  <si>
    <t xml:space="preserve">Employee count</t>
  </si>
  <si>
    <t xml:space="preserve">1–4 (micro)</t>
  </si>
  <si>
    <t xml:space="preserve">69eb2e50-bcc3-4162-9f31-ae8b16b701ad</t>
  </si>
  <si>
    <t xml:space="preserve">Has website?</t>
  </si>
  <si>
    <t xml:space="preserve">No website</t>
  </si>
  <si>
    <t xml:space="preserve">no_digital_presence,foundational</t>
  </si>
  <si>
    <t xml:space="preserve">3f5d2612-ffe9-4df7-acf3-b374271b1cd1</t>
  </si>
  <si>
    <t xml:space="preserve">Social media use</t>
  </si>
  <si>
    <t xml:space="preserve">Business page, occasional posts</t>
  </si>
  <si>
    <t xml:space="preserve">273b7b26-de4e-4ef5-8ef8-4a8d2d3edf00</t>
  </si>
  <si>
    <t xml:space="preserve">Cybersecurity</t>
  </si>
  <si>
    <t xml:space="preserve">No formal measures</t>
  </si>
  <si>
    <t xml:space="preserve">7c12d6ee-ad89-49d9-bd03-e72f3e601176</t>
  </si>
  <si>
    <t xml:space="preserve">Documented processes</t>
  </si>
  <si>
    <t xml:space="preserve">Some informal notes</t>
  </si>
  <si>
    <t xml:space="preserve">a1aa1a63-48dd-4ac3-89a8-243e391861b7</t>
  </si>
  <si>
    <t xml:space="preserve">Sells online?</t>
  </si>
  <si>
    <t xml:space="preserve">No online sales</t>
  </si>
  <si>
    <t xml:space="preserve">300e8a1a-35b8-4500-9318-b913a98c131f</t>
  </si>
  <si>
    <t xml:space="preserve">supply_chain,certification</t>
  </si>
  <si>
    <t xml:space="preserve">e4ef7125-9137-499e-8f07-020860d0cd83</t>
  </si>
  <si>
    <t xml:space="preserve">Active website with contact/booking</t>
  </si>
  <si>
    <t xml:space="preserve">33598fe2-d05a-4a4e-8c5a-8cee148aba02</t>
  </si>
  <si>
    <t xml:space="preserve">Exports?</t>
  </si>
  <si>
    <t xml:space="preserve">Regular export program</t>
  </si>
  <si>
    <t xml:space="preserve">export,international_trade</t>
  </si>
  <si>
    <t xml:space="preserve">6b92ce19-ca67-4532-817d-f3d0282573d9</t>
  </si>
  <si>
    <t xml:space="preserve">cf8f8744-7a4f-4b77-b8eb-1fd3b6e2fb25</t>
  </si>
  <si>
    <t xml:space="preserve">23ba0982-df43-4a1b-a185-5836d2db1379</t>
  </si>
  <si>
    <t xml:space="preserve">Is Indigenous owned?</t>
  </si>
  <si>
    <t xml:space="preserve">Yes</t>
  </si>
  <si>
    <t xml:space="preserve">indigenous_business_elig,indigenous_market</t>
  </si>
  <si>
    <t xml:space="preserve">result_type</t>
  </si>
  <si>
    <t xml:space="preserve">grant_or_provider_name</t>
  </si>
  <si>
    <t xml:space="preserve">match_score</t>
  </si>
  <si>
    <t xml:space="preserve">match_rank</t>
  </si>
  <si>
    <t xml:space="preserve">matched_tags</t>
  </si>
  <si>
    <t xml:space="preserve">eligibility_met</t>
  </si>
  <si>
    <t xml:space="preserve">reasoning_summary</t>
  </si>
  <si>
    <t xml:space="preserve">9a504a42-2aff-4506-84da-f8680e161fb3</t>
  </si>
  <si>
    <t xml:space="preserve">grant</t>
  </si>
  <si>
    <t xml:space="preserve">no_digital_presence,food_safety,foundational,food_beverage</t>
  </si>
  <si>
    <t xml:space="preserve">Food &amp; Beverage sector at Foundational DML — exactly the target profile. Program offers free advisory for SME food manufacturers.</t>
  </si>
  <si>
    <t xml:space="preserve">6fc810cd-542f-4b16-a9a0-2d88c9957a00</t>
  </si>
  <si>
    <t xml:space="preserve">no_digital_presence,cybersecurity,business_software,foundational</t>
  </si>
  <si>
    <t xml:space="preserve">≤19 employees, no digital presence detected. ASBAS provides subsidised digital advisory at $110/session.</t>
  </si>
  <si>
    <t xml:space="preserve">3e5481a0-8591-40ac-8d33-a1c90dfb1129</t>
  </si>
  <si>
    <t xml:space="preserve">provider</t>
  </si>
  <si>
    <t xml:space="preserve">no_digital_presence,food_safety,inventory_software,foundational</t>
  </si>
  <si>
    <t xml:space="preserve">Specialist food &amp; beverage digital provider aligned with Digital Shoestring program.</t>
  </si>
  <si>
    <t xml:space="preserve">cb306625-fdc0-4e14-a1d9-d37f33b83e47</t>
  </si>
  <si>
    <t xml:space="preserve">no_digital_presence,business_software,digital_marketing</t>
  </si>
  <si>
    <t xml:space="preserve">Free government-backed advisory — ideal entry point for a foundational SME.</t>
  </si>
  <si>
    <t xml:space="preserve">03da825c-a0d7-4be9-b3d0-088a70702498</t>
  </si>
  <si>
    <t xml:space="preserve">export,international_trade,supply_chain,established</t>
  </si>
  <si>
    <t xml:space="preserve">Active exporter with 8 years trading. Meets 2-year supply chain requirement. ATT accreditation unlocks priority customs clearance.</t>
  </si>
  <si>
    <t xml:space="preserve">a00ac365-fcba-45e8-8138-9e16c84399ed</t>
  </si>
  <si>
    <t xml:space="preserve">export,international_trade,international_supply_chain,certification</t>
  </si>
  <si>
    <t xml:space="preserve">Direct match on export + international trade tags. Can support ATT application process.</t>
  </si>
  <si>
    <t xml:space="preserve">38fc28ec-5ab1-49a6-80d1-b38e2634c9ae</t>
  </si>
  <si>
    <t xml:space="preserve">INELIGIBLE — only for the 6 Noongar Regional Corporations under SWNT Settlement. Does not apply to Kimberley businesses.</t>
  </si>
  <si>
    <t xml:space="preserve">cfb33bef-e2c2-4527-991b-543fa24c9cff</t>
  </si>
  <si>
    <t xml:space="preserve">indigenous_business_elig,brand_development</t>
  </si>
  <si>
    <t xml:space="preserve">Aboriginal-owned business with 5 years trading (&gt;12 months required). Voucher supports supply chain development.</t>
  </si>
  <si>
    <t xml:space="preserve">33cd3063-70a1-41bd-afc1-ca66c9e0729b</t>
  </si>
  <si>
    <t xml:space="preserve">indigenous_business_elig,brand_development,b2b_sales,no_digital_presence</t>
  </si>
  <si>
    <t xml:space="preserve">Aboriginal-owned consultancy specialising in Indigenous businesses — perfect fit for digital advisory and business development.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</si>
</sst>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General"/>
  </numFmts>
  <fonts count="1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FFFFFF"/>
      <name val="Arial"/>
      <family val="0"/>
      <charset val="1"/>
    </font>
    <font>
      <i val="true"/>
      <sz val="10"/>
      <color rgb="FFFFFFFF"/>
      <name val="Arial"/>
      <family val="0"/>
      <charset val="1"/>
    </font>
    <font>
      <sz val="9"/>
      <color rgb="FF444444"/>
      <name val="Arial"/>
      <family val="0"/>
      <charset val="1"/>
    </font>
    <font>
      <sz val="9"/>
      <name val="Arial"/>
      <family val="0"/>
      <charset val="1"/>
    </font>
    <font>
      <b val="true"/>
      <sz val="10"/>
      <color rgb="FF003D7B"/>
      <name val="Arial"/>
      <family val="0"/>
      <charset val="1"/>
    </font>
    <font>
      <b val="true"/>
      <sz val="10"/>
      <color rgb="FFFFFFFF"/>
      <name val="Arial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rgb="FF003D7B"/>
        <bgColor rgb="FF333399"/>
      </patternFill>
    </fill>
    <fill>
      <patternFill patternType="solid">
        <fgColor rgb="FFC8962B"/>
        <bgColor rgb="FFFF8080"/>
      </patternFill>
    </fill>
    <fill>
      <patternFill patternType="solid">
        <fgColor rgb="FFEEF4FB"/>
        <bgColor rgb="FFFFFFFF"/>
      </patternFill>
    </fill>
    <fill>
      <patternFill patternType="solid">
        <fgColor rgb="FFFFFFFF"/>
        <bgColor rgb="FFEEF4FB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3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4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5" fontId="7" fillId="4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7" fillId="5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5" fontId="7" fillId="5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CCCCC"/>
      <rgbColor rgb="FF808080"/>
      <rgbColor rgb="FF9999FF"/>
      <rgbColor rgb="FF993366"/>
      <rgbColor rgb="FFEEF4FB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C8962B"/>
      <rgbColor rgb="FFFF6600"/>
      <rgbColor rgb="FF666699"/>
      <rgbColor rgb="FF969696"/>
      <rgbColor rgb="FF003D7B"/>
      <rgbColor rgb="FF339966"/>
      <rgbColor rgb="FF003300"/>
      <rgbColor rgb="FF333300"/>
      <rgbColor rgb="FF993300"/>
      <rgbColor rgb="FF993366"/>
      <rgbColor rgb="FF333399"/>
      <rgbColor rgb="FF444444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worksheet" Target="worksheets/sheet12.xml"/><Relationship Id="rId15" Type="http://schemas.openxmlformats.org/officeDocument/2006/relationships/worksheet" Target="worksheets/sheet13.xml"/><Relationship Id="rId16" Type="http://schemas.openxmlformats.org/officeDocument/2006/relationships/worksheet" Target="worksheets/sheet14.xml"/><Relationship Id="rId17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34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30"/>
    <col collapsed="false" customWidth="true" hidden="false" outlineLevel="0" max="3" min="3" style="0" width="70"/>
  </cols>
  <sheetData>
    <row r="1" customFormat="false" ht="19.5" hidden="false" customHeight="true" outlineLevel="0" collapsed="false">
      <c r="A1" s="1" t="s">
        <v>0</v>
      </c>
      <c r="B1" s="1"/>
      <c r="C1" s="1"/>
    </row>
    <row r="2" customFormat="false" ht="19.5" hidden="false" customHeight="true" outlineLevel="0" collapsed="false">
      <c r="A2" s="1"/>
      <c r="B2" s="1"/>
      <c r="C2" s="1"/>
    </row>
    <row r="3" customFormat="false" ht="18" hidden="false" customHeight="true" outlineLevel="0" collapsed="false">
      <c r="A3" s="2" t="s">
        <v>1</v>
      </c>
      <c r="B3" s="2"/>
      <c r="C3" s="2"/>
    </row>
    <row r="4" customFormat="false" ht="18" hidden="false" customHeight="true" outlineLevel="0" collapsed="false">
      <c r="B4" s="3"/>
      <c r="C4" s="4"/>
    </row>
    <row r="5" customFormat="false" ht="18" hidden="false" customHeight="true" outlineLevel="0" collapsed="false">
      <c r="B5" s="5" t="s">
        <v>2</v>
      </c>
      <c r="C5" s="4" t="s">
        <v>3</v>
      </c>
    </row>
    <row r="6" customFormat="false" ht="18" hidden="false" customHeight="true" outlineLevel="0" collapsed="false">
      <c r="B6" s="3"/>
      <c r="C6" s="4"/>
    </row>
    <row r="7" customFormat="false" ht="18" hidden="false" customHeight="true" outlineLevel="0" collapsed="false">
      <c r="B7" s="5" t="s">
        <v>4</v>
      </c>
      <c r="C7" s="4"/>
    </row>
    <row r="8" customFormat="false" ht="18" hidden="false" customHeight="true" outlineLevel="0" collapsed="false">
      <c r="B8" s="3" t="s">
        <v>5</v>
      </c>
      <c r="C8" s="4" t="s">
        <v>6</v>
      </c>
    </row>
    <row r="9" customFormat="false" ht="18" hidden="false" customHeight="true" outlineLevel="0" collapsed="false">
      <c r="B9" s="3" t="s">
        <v>7</v>
      </c>
      <c r="C9" s="4" t="s">
        <v>8</v>
      </c>
    </row>
    <row r="10" customFormat="false" ht="18" hidden="false" customHeight="true" outlineLevel="0" collapsed="false">
      <c r="B10" s="3" t="s">
        <v>9</v>
      </c>
      <c r="C10" s="4" t="s">
        <v>10</v>
      </c>
    </row>
    <row r="11" customFormat="false" ht="18" hidden="false" customHeight="true" outlineLevel="0" collapsed="false">
      <c r="B11" s="3" t="s">
        <v>11</v>
      </c>
      <c r="C11" s="4" t="s">
        <v>12</v>
      </c>
    </row>
    <row r="12" customFormat="false" ht="18" hidden="false" customHeight="true" outlineLevel="0" collapsed="false">
      <c r="B12" s="3" t="s">
        <v>13</v>
      </c>
      <c r="C12" s="4" t="s">
        <v>14</v>
      </c>
    </row>
    <row r="13" customFormat="false" ht="18" hidden="false" customHeight="true" outlineLevel="0" collapsed="false">
      <c r="B13" s="3" t="s">
        <v>15</v>
      </c>
      <c r="C13" s="4" t="s">
        <v>16</v>
      </c>
    </row>
    <row r="14" customFormat="false" ht="18" hidden="false" customHeight="true" outlineLevel="0" collapsed="false">
      <c r="B14" s="3"/>
      <c r="C14" s="4"/>
    </row>
    <row r="15" customFormat="false" ht="18" hidden="false" customHeight="true" outlineLevel="0" collapsed="false">
      <c r="B15" s="5" t="s">
        <v>17</v>
      </c>
      <c r="C15" s="4"/>
    </row>
    <row r="16" customFormat="false" ht="18" hidden="false" customHeight="true" outlineLevel="0" collapsed="false">
      <c r="B16" s="3" t="s">
        <v>18</v>
      </c>
      <c r="C16" s="4" t="s">
        <v>19</v>
      </c>
    </row>
    <row r="17" customFormat="false" ht="18" hidden="false" customHeight="true" outlineLevel="0" collapsed="false">
      <c r="B17" s="3" t="s">
        <v>20</v>
      </c>
      <c r="C17" s="4" t="s">
        <v>21</v>
      </c>
    </row>
    <row r="18" customFormat="false" ht="18" hidden="false" customHeight="true" outlineLevel="0" collapsed="false">
      <c r="B18" s="3" t="s">
        <v>22</v>
      </c>
      <c r="C18" s="4" t="s">
        <v>23</v>
      </c>
    </row>
    <row r="19" customFormat="false" ht="18" hidden="false" customHeight="true" outlineLevel="0" collapsed="false">
      <c r="B19" s="3" t="s">
        <v>24</v>
      </c>
      <c r="C19" s="4" t="s">
        <v>25</v>
      </c>
    </row>
    <row r="20" customFormat="false" ht="18" hidden="false" customHeight="true" outlineLevel="0" collapsed="false">
      <c r="B20" s="3" t="s">
        <v>26</v>
      </c>
      <c r="C20" s="4" t="s">
        <v>27</v>
      </c>
    </row>
    <row r="21" customFormat="false" ht="18" hidden="false" customHeight="true" outlineLevel="0" collapsed="false">
      <c r="B21" s="3" t="s">
        <v>28</v>
      </c>
      <c r="C21" s="4" t="s">
        <v>29</v>
      </c>
    </row>
    <row r="22" customFormat="false" ht="18" hidden="false" customHeight="true" outlineLevel="0" collapsed="false">
      <c r="B22" s="3" t="s">
        <v>30</v>
      </c>
      <c r="C22" s="4" t="s">
        <v>31</v>
      </c>
    </row>
    <row r="23" customFormat="false" ht="18" hidden="false" customHeight="true" outlineLevel="0" collapsed="false">
      <c r="B23" s="3" t="s">
        <v>32</v>
      </c>
      <c r="C23" s="4" t="s">
        <v>33</v>
      </c>
    </row>
    <row r="24" customFormat="false" ht="18" hidden="false" customHeight="true" outlineLevel="0" collapsed="false">
      <c r="B24" s="3" t="s">
        <v>34</v>
      </c>
      <c r="C24" s="4" t="s">
        <v>35</v>
      </c>
    </row>
    <row r="25" customFormat="false" ht="18" hidden="false" customHeight="true" outlineLevel="0" collapsed="false">
      <c r="B25" s="3" t="s">
        <v>36</v>
      </c>
      <c r="C25" s="4" t="s">
        <v>37</v>
      </c>
    </row>
    <row r="26" customFormat="false" ht="18" hidden="false" customHeight="true" outlineLevel="0" collapsed="false">
      <c r="B26" s="3" t="s">
        <v>38</v>
      </c>
      <c r="C26" s="4" t="s">
        <v>39</v>
      </c>
    </row>
    <row r="27" customFormat="false" ht="18" hidden="false" customHeight="true" outlineLevel="0" collapsed="false">
      <c r="B27" s="3" t="s">
        <v>40</v>
      </c>
      <c r="C27" s="4" t="s">
        <v>41</v>
      </c>
    </row>
    <row r="28" customFormat="false" ht="18" hidden="false" customHeight="true" outlineLevel="0" collapsed="false">
      <c r="B28" s="3" t="s">
        <v>42</v>
      </c>
      <c r="C28" s="4" t="s">
        <v>43</v>
      </c>
    </row>
    <row r="29" customFormat="false" ht="18" hidden="false" customHeight="true" outlineLevel="0" collapsed="false">
      <c r="B29" s="3"/>
      <c r="C29" s="4"/>
    </row>
    <row r="30" customFormat="false" ht="18" hidden="false" customHeight="true" outlineLevel="0" collapsed="false">
      <c r="B30" s="5" t="s">
        <v>44</v>
      </c>
      <c r="C30" s="4"/>
    </row>
    <row r="31" customFormat="false" ht="18" hidden="false" customHeight="true" outlineLevel="0" collapsed="false">
      <c r="B31" s="3" t="s">
        <v>45</v>
      </c>
      <c r="C31" s="4" t="s">
        <v>46</v>
      </c>
    </row>
    <row r="32" customFormat="false" ht="18" hidden="false" customHeight="true" outlineLevel="0" collapsed="false">
      <c r="B32" s="3" t="s">
        <v>47</v>
      </c>
      <c r="C32" s="4" t="s">
        <v>48</v>
      </c>
    </row>
    <row r="33" customFormat="false" ht="18" hidden="false" customHeight="true" outlineLevel="0" collapsed="false">
      <c r="B33" s="3" t="s">
        <v>49</v>
      </c>
      <c r="C33" s="4" t="s">
        <v>50</v>
      </c>
    </row>
    <row r="34" customFormat="false" ht="18" hidden="false" customHeight="true" outlineLevel="0" collapsed="false">
      <c r="B34" s="3" t="s">
        <v>51</v>
      </c>
      <c r="C34" s="4" t="s">
        <v>52</v>
      </c>
    </row>
  </sheetData>
  <mergeCells count="2">
    <mergeCell ref="A1:C2"/>
    <mergeCell ref="A3:C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8"/>
    <col collapsed="false" customWidth="true" hidden="false" outlineLevel="0" max="3" min="2" style="0" width="28"/>
    <col collapsed="false" customWidth="true" hidden="false" outlineLevel="0" max="4" min="4" style="0" width="38"/>
    <col collapsed="false" customWidth="true" hidden="false" outlineLevel="0" max="5" min="5" style="0" width="14"/>
    <col collapsed="false" customWidth="true" hidden="false" outlineLevel="0" max="6" min="6" style="0" width="55"/>
    <col collapsed="false" customWidth="true" hidden="false" outlineLevel="0" max="8" min="7" style="0" width="10"/>
  </cols>
  <sheetData>
    <row r="1" customFormat="false" ht="30" hidden="false" customHeight="true" outlineLevel="0" collapsed="false">
      <c r="A1" s="6" t="s">
        <v>53</v>
      </c>
      <c r="B1" s="6" t="s">
        <v>54</v>
      </c>
      <c r="C1" s="6" t="s">
        <v>55</v>
      </c>
      <c r="D1" s="6" t="s">
        <v>56</v>
      </c>
      <c r="E1" s="6" t="s">
        <v>57</v>
      </c>
      <c r="F1" s="6" t="s">
        <v>58</v>
      </c>
      <c r="G1" s="6" t="s">
        <v>59</v>
      </c>
      <c r="H1" s="6" t="s">
        <v>60</v>
      </c>
    </row>
    <row r="2" customFormat="false" ht="21.75" hidden="false" customHeight="true" outlineLevel="0" collapsed="false">
      <c r="A2" s="7" t="s">
        <v>61</v>
      </c>
      <c r="B2" s="7" t="s">
        <v>62</v>
      </c>
      <c r="C2" s="7" t="s">
        <v>63</v>
      </c>
      <c r="D2" s="7"/>
      <c r="E2" s="7" t="s">
        <v>63</v>
      </c>
      <c r="F2" s="7" t="s">
        <v>64</v>
      </c>
      <c r="G2" s="8" t="b">
        <f aca="false">TRUE()</f>
        <v>1</v>
      </c>
      <c r="H2" s="7" t="n">
        <v>1</v>
      </c>
    </row>
    <row r="3" customFormat="false" ht="21.75" hidden="false" customHeight="true" outlineLevel="0" collapsed="false">
      <c r="A3" s="9" t="s">
        <v>65</v>
      </c>
      <c r="B3" s="9" t="s">
        <v>66</v>
      </c>
      <c r="C3" s="9" t="s">
        <v>67</v>
      </c>
      <c r="D3" s="9"/>
      <c r="E3" s="9" t="s">
        <v>68</v>
      </c>
      <c r="F3" s="9" t="s">
        <v>69</v>
      </c>
      <c r="G3" s="10" t="b">
        <f aca="false">TRUE()</f>
        <v>1</v>
      </c>
      <c r="H3" s="9" t="n">
        <v>2</v>
      </c>
    </row>
    <row r="4" customFormat="false" ht="21.75" hidden="false" customHeight="true" outlineLevel="0" collapsed="false">
      <c r="A4" s="7" t="s">
        <v>70</v>
      </c>
      <c r="B4" s="7" t="s">
        <v>71</v>
      </c>
      <c r="C4" s="7" t="s">
        <v>72</v>
      </c>
      <c r="D4" s="7" t="s">
        <v>65</v>
      </c>
      <c r="E4" s="7" t="s">
        <v>73</v>
      </c>
      <c r="F4" s="7" t="s">
        <v>74</v>
      </c>
      <c r="G4" s="8" t="b">
        <f aca="false">TRUE()</f>
        <v>1</v>
      </c>
      <c r="H4" s="7" t="n">
        <v>3</v>
      </c>
    </row>
    <row r="5" customFormat="false" ht="21.75" hidden="false" customHeight="true" outlineLevel="0" collapsed="false">
      <c r="A5" s="9" t="s">
        <v>75</v>
      </c>
      <c r="B5" s="9" t="s">
        <v>76</v>
      </c>
      <c r="C5" s="9" t="s">
        <v>77</v>
      </c>
      <c r="D5" s="9" t="s">
        <v>61</v>
      </c>
      <c r="E5" s="9" t="s">
        <v>78</v>
      </c>
      <c r="F5" s="9" t="s">
        <v>79</v>
      </c>
      <c r="G5" s="10" t="b">
        <f aca="false">TRUE()</f>
        <v>1</v>
      </c>
      <c r="H5" s="9" t="n">
        <v>4</v>
      </c>
    </row>
    <row r="6" customFormat="false" ht="21.75" hidden="false" customHeight="true" outlineLevel="0" collapsed="false">
      <c r="A6" s="7" t="s">
        <v>80</v>
      </c>
      <c r="B6" s="7" t="s">
        <v>81</v>
      </c>
      <c r="C6" s="7" t="s">
        <v>82</v>
      </c>
      <c r="D6" s="7" t="s">
        <v>61</v>
      </c>
      <c r="E6" s="7" t="s">
        <v>83</v>
      </c>
      <c r="F6" s="7" t="s">
        <v>84</v>
      </c>
      <c r="G6" s="8" t="b">
        <f aca="false">TRUE()</f>
        <v>1</v>
      </c>
      <c r="H6" s="7" t="n">
        <v>5</v>
      </c>
    </row>
    <row r="7" customFormat="false" ht="21.75" hidden="false" customHeight="true" outlineLevel="0" collapsed="false">
      <c r="A7" s="9" t="s">
        <v>85</v>
      </c>
      <c r="B7" s="9" t="s">
        <v>86</v>
      </c>
      <c r="C7" s="9" t="s">
        <v>87</v>
      </c>
      <c r="D7" s="9"/>
      <c r="E7" s="9" t="s">
        <v>88</v>
      </c>
      <c r="F7" s="9" t="s">
        <v>89</v>
      </c>
      <c r="G7" s="10" t="b">
        <f aca="false">TRUE()</f>
        <v>1</v>
      </c>
      <c r="H7" s="9" t="n">
        <v>6</v>
      </c>
    </row>
    <row r="8" customFormat="false" ht="21.75" hidden="false" customHeight="true" outlineLevel="0" collapsed="false">
      <c r="A8" s="7" t="s">
        <v>90</v>
      </c>
      <c r="B8" s="7" t="s">
        <v>91</v>
      </c>
      <c r="C8" s="7" t="s">
        <v>92</v>
      </c>
      <c r="D8" s="7"/>
      <c r="E8" s="7" t="s">
        <v>92</v>
      </c>
      <c r="F8" s="7" t="s">
        <v>93</v>
      </c>
      <c r="G8" s="8" t="b">
        <f aca="false">TRUE()</f>
        <v>1</v>
      </c>
      <c r="H8" s="7" t="n">
        <v>7</v>
      </c>
    </row>
    <row r="9" customFormat="false" ht="21.75" hidden="false" customHeight="true" outlineLevel="0" collapsed="false">
      <c r="A9" s="9" t="s">
        <v>94</v>
      </c>
      <c r="B9" s="9" t="s">
        <v>95</v>
      </c>
      <c r="C9" s="9" t="s">
        <v>96</v>
      </c>
      <c r="D9" s="9"/>
      <c r="E9" s="9" t="s">
        <v>97</v>
      </c>
      <c r="F9" s="9" t="s">
        <v>98</v>
      </c>
      <c r="G9" s="10" t="b">
        <f aca="false">TRUE()</f>
        <v>1</v>
      </c>
      <c r="H9" s="9" t="n">
        <v>8</v>
      </c>
    </row>
    <row r="10" customFormat="false" ht="21.75" hidden="false" customHeight="true" outlineLevel="0" collapsed="false">
      <c r="A10" s="7" t="s">
        <v>99</v>
      </c>
      <c r="B10" s="7" t="s">
        <v>100</v>
      </c>
      <c r="C10" s="7" t="s">
        <v>101</v>
      </c>
      <c r="D10" s="7"/>
      <c r="E10" s="7" t="s">
        <v>102</v>
      </c>
      <c r="F10" s="7" t="s">
        <v>103</v>
      </c>
      <c r="G10" s="8" t="b">
        <f aca="false">TRUE()</f>
        <v>1</v>
      </c>
      <c r="H10" s="7" t="n">
        <v>9</v>
      </c>
    </row>
    <row r="11" customFormat="false" ht="21.75" hidden="false" customHeight="true" outlineLevel="0" collapsed="false">
      <c r="A11" s="9" t="s">
        <v>104</v>
      </c>
      <c r="B11" s="9" t="s">
        <v>105</v>
      </c>
      <c r="C11" s="9" t="s">
        <v>106</v>
      </c>
      <c r="D11" s="9"/>
      <c r="E11" s="9" t="s">
        <v>107</v>
      </c>
      <c r="F11" s="9" t="s">
        <v>108</v>
      </c>
      <c r="G11" s="10" t="b">
        <f aca="false">TRUE()</f>
        <v>1</v>
      </c>
      <c r="H11" s="9" t="n">
        <v>10</v>
      </c>
    </row>
    <row r="12" customFormat="false" ht="21.75" hidden="false" customHeight="true" outlineLevel="0" collapsed="false">
      <c r="A12" s="7" t="s">
        <v>109</v>
      </c>
      <c r="B12" s="7" t="s">
        <v>110</v>
      </c>
      <c r="C12" s="7" t="s">
        <v>111</v>
      </c>
      <c r="D12" s="7"/>
      <c r="E12" s="7" t="s">
        <v>112</v>
      </c>
      <c r="F12" s="7" t="s">
        <v>113</v>
      </c>
      <c r="G12" s="8" t="b">
        <f aca="false">TRUE()</f>
        <v>1</v>
      </c>
      <c r="H12" s="7" t="n">
        <v>11</v>
      </c>
    </row>
    <row r="13" customFormat="false" ht="21.75" hidden="false" customHeight="true" outlineLevel="0" collapsed="false">
      <c r="A13" s="9" t="s">
        <v>114</v>
      </c>
      <c r="B13" s="9" t="s">
        <v>115</v>
      </c>
      <c r="C13" s="9" t="s">
        <v>116</v>
      </c>
      <c r="D13" s="9"/>
      <c r="E13" s="9" t="s">
        <v>117</v>
      </c>
      <c r="F13" s="9" t="s">
        <v>118</v>
      </c>
      <c r="G13" s="10" t="b">
        <f aca="false">TRUE()</f>
        <v>1</v>
      </c>
      <c r="H13" s="9" t="n">
        <v>12</v>
      </c>
    </row>
    <row r="14" customFormat="false" ht="21.75" hidden="false" customHeight="true" outlineLevel="0" collapsed="false">
      <c r="A14" s="7" t="s">
        <v>119</v>
      </c>
      <c r="B14" s="7" t="s">
        <v>120</v>
      </c>
      <c r="C14" s="7" t="s">
        <v>121</v>
      </c>
      <c r="D14" s="7"/>
      <c r="E14" s="7" t="s">
        <v>122</v>
      </c>
      <c r="F14" s="7" t="s">
        <v>123</v>
      </c>
      <c r="G14" s="8" t="b">
        <f aca="false">TRUE()</f>
        <v>1</v>
      </c>
      <c r="H14" s="7" t="n">
        <v>13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4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8"/>
    <col collapsed="false" customWidth="true" hidden="false" outlineLevel="0" max="2" min="2" style="0" width="28"/>
    <col collapsed="false" customWidth="true" hidden="false" outlineLevel="0" max="3" min="3" style="0" width="32"/>
    <col collapsed="false" customWidth="true" hidden="false" outlineLevel="0" max="4" min="4" style="0" width="16"/>
    <col collapsed="false" customWidth="true" hidden="false" outlineLevel="0" max="5" min="5" style="0" width="60"/>
    <col collapsed="false" customWidth="true" hidden="false" outlineLevel="0" max="6" min="6" style="0" width="10"/>
  </cols>
  <sheetData>
    <row r="1" customFormat="false" ht="30" hidden="false" customHeight="true" outlineLevel="0" collapsed="false">
      <c r="A1" s="6" t="s">
        <v>53</v>
      </c>
      <c r="B1" s="6" t="s">
        <v>54</v>
      </c>
      <c r="C1" s="6" t="s">
        <v>124</v>
      </c>
      <c r="D1" s="6" t="s">
        <v>125</v>
      </c>
      <c r="E1" s="6" t="s">
        <v>58</v>
      </c>
      <c r="F1" s="6" t="s">
        <v>59</v>
      </c>
    </row>
    <row r="2" customFormat="false" ht="21.75" hidden="false" customHeight="true" outlineLevel="0" collapsed="false">
      <c r="A2" s="7" t="s">
        <v>126</v>
      </c>
      <c r="B2" s="7" t="s">
        <v>127</v>
      </c>
      <c r="C2" s="7" t="s">
        <v>128</v>
      </c>
      <c r="D2" s="7" t="s">
        <v>129</v>
      </c>
      <c r="E2" s="7" t="s">
        <v>130</v>
      </c>
      <c r="F2" s="8" t="b">
        <f aca="false">TRUE()</f>
        <v>1</v>
      </c>
    </row>
    <row r="3" customFormat="false" ht="21.75" hidden="false" customHeight="true" outlineLevel="0" collapsed="false">
      <c r="A3" s="9" t="s">
        <v>131</v>
      </c>
      <c r="B3" s="9" t="s">
        <v>132</v>
      </c>
      <c r="C3" s="9" t="s">
        <v>133</v>
      </c>
      <c r="D3" s="9" t="s">
        <v>129</v>
      </c>
      <c r="E3" s="9" t="s">
        <v>134</v>
      </c>
      <c r="F3" s="10" t="b">
        <f aca="false">TRUE()</f>
        <v>1</v>
      </c>
    </row>
    <row r="4" customFormat="false" ht="21.75" hidden="false" customHeight="true" outlineLevel="0" collapsed="false">
      <c r="A4" s="7" t="s">
        <v>135</v>
      </c>
      <c r="B4" s="7" t="s">
        <v>136</v>
      </c>
      <c r="C4" s="7" t="s">
        <v>137</v>
      </c>
      <c r="D4" s="7" t="s">
        <v>129</v>
      </c>
      <c r="E4" s="7" t="s">
        <v>138</v>
      </c>
      <c r="F4" s="8" t="b">
        <f aca="false">TRUE()</f>
        <v>1</v>
      </c>
    </row>
    <row r="5" customFormat="false" ht="21.75" hidden="false" customHeight="true" outlineLevel="0" collapsed="false">
      <c r="A5" s="9" t="s">
        <v>139</v>
      </c>
      <c r="B5" s="9" t="s">
        <v>140</v>
      </c>
      <c r="C5" s="9" t="s">
        <v>141</v>
      </c>
      <c r="D5" s="9" t="s">
        <v>129</v>
      </c>
      <c r="E5" s="9" t="s">
        <v>142</v>
      </c>
      <c r="F5" s="10" t="b">
        <f aca="false">TRUE()</f>
        <v>1</v>
      </c>
    </row>
    <row r="6" customFormat="false" ht="21.75" hidden="false" customHeight="true" outlineLevel="0" collapsed="false">
      <c r="A6" s="7" t="s">
        <v>143</v>
      </c>
      <c r="B6" s="7" t="s">
        <v>144</v>
      </c>
      <c r="C6" s="7" t="s">
        <v>145</v>
      </c>
      <c r="D6" s="7" t="s">
        <v>129</v>
      </c>
      <c r="E6" s="7" t="s">
        <v>146</v>
      </c>
      <c r="F6" s="8" t="b">
        <f aca="false">TRUE()</f>
        <v>1</v>
      </c>
    </row>
    <row r="7" customFormat="false" ht="21.75" hidden="false" customHeight="true" outlineLevel="0" collapsed="false">
      <c r="A7" s="9" t="s">
        <v>147</v>
      </c>
      <c r="B7" s="9" t="s">
        <v>148</v>
      </c>
      <c r="C7" s="9" t="s">
        <v>149</v>
      </c>
      <c r="D7" s="9" t="s">
        <v>129</v>
      </c>
      <c r="E7" s="9" t="s">
        <v>150</v>
      </c>
      <c r="F7" s="10" t="b">
        <f aca="false">TRUE()</f>
        <v>1</v>
      </c>
    </row>
    <row r="8" customFormat="false" ht="21.75" hidden="false" customHeight="true" outlineLevel="0" collapsed="false">
      <c r="A8" s="7" t="s">
        <v>151</v>
      </c>
      <c r="B8" s="7" t="s">
        <v>152</v>
      </c>
      <c r="C8" s="7" t="s">
        <v>153</v>
      </c>
      <c r="D8" s="7" t="s">
        <v>129</v>
      </c>
      <c r="E8" s="7" t="s">
        <v>154</v>
      </c>
      <c r="F8" s="8" t="b">
        <f aca="false">TRUE()</f>
        <v>1</v>
      </c>
    </row>
    <row r="9" customFormat="false" ht="21.75" hidden="false" customHeight="true" outlineLevel="0" collapsed="false">
      <c r="A9" s="9" t="s">
        <v>155</v>
      </c>
      <c r="B9" s="9" t="s">
        <v>156</v>
      </c>
      <c r="C9" s="9" t="s">
        <v>157</v>
      </c>
      <c r="D9" s="9" t="s">
        <v>129</v>
      </c>
      <c r="E9" s="9" t="s">
        <v>158</v>
      </c>
      <c r="F9" s="10" t="b">
        <f aca="false">TRUE()</f>
        <v>1</v>
      </c>
    </row>
    <row r="10" customFormat="false" ht="21.75" hidden="false" customHeight="true" outlineLevel="0" collapsed="false">
      <c r="A10" s="7" t="s">
        <v>159</v>
      </c>
      <c r="B10" s="7" t="s">
        <v>160</v>
      </c>
      <c r="C10" s="7" t="s">
        <v>161</v>
      </c>
      <c r="D10" s="7" t="s">
        <v>129</v>
      </c>
      <c r="E10" s="7" t="s">
        <v>162</v>
      </c>
      <c r="F10" s="8" t="b">
        <f aca="false">TRUE()</f>
        <v>1</v>
      </c>
    </row>
    <row r="11" customFormat="false" ht="21.75" hidden="false" customHeight="true" outlineLevel="0" collapsed="false">
      <c r="A11" s="9" t="s">
        <v>163</v>
      </c>
      <c r="B11" s="9" t="s">
        <v>164</v>
      </c>
      <c r="C11" s="9" t="s">
        <v>165</v>
      </c>
      <c r="D11" s="9" t="s">
        <v>129</v>
      </c>
      <c r="E11" s="9" t="s">
        <v>166</v>
      </c>
      <c r="F11" s="10" t="b">
        <f aca="false">TRUE()</f>
        <v>1</v>
      </c>
    </row>
    <row r="12" customFormat="false" ht="21.75" hidden="false" customHeight="true" outlineLevel="0" collapsed="false">
      <c r="A12" s="7" t="s">
        <v>167</v>
      </c>
      <c r="B12" s="7" t="s">
        <v>168</v>
      </c>
      <c r="C12" s="7" t="s">
        <v>169</v>
      </c>
      <c r="D12" s="7" t="s">
        <v>129</v>
      </c>
      <c r="E12" s="7" t="s">
        <v>170</v>
      </c>
      <c r="F12" s="8" t="b">
        <f aca="false">TRUE()</f>
        <v>1</v>
      </c>
    </row>
    <row r="13" customFormat="false" ht="21.75" hidden="false" customHeight="true" outlineLevel="0" collapsed="false">
      <c r="A13" s="9" t="s">
        <v>171</v>
      </c>
      <c r="B13" s="9" t="s">
        <v>172</v>
      </c>
      <c r="C13" s="9" t="s">
        <v>173</v>
      </c>
      <c r="D13" s="9" t="s">
        <v>129</v>
      </c>
      <c r="E13" s="9" t="s">
        <v>174</v>
      </c>
      <c r="F13" s="10" t="b">
        <f aca="false">TRUE()</f>
        <v>1</v>
      </c>
    </row>
    <row r="14" customFormat="false" ht="21.75" hidden="false" customHeight="true" outlineLevel="0" collapsed="false">
      <c r="A14" s="7" t="s">
        <v>175</v>
      </c>
      <c r="B14" s="7" t="s">
        <v>176</v>
      </c>
      <c r="C14" s="7" t="s">
        <v>177</v>
      </c>
      <c r="D14" s="7" t="s">
        <v>129</v>
      </c>
      <c r="E14" s="7" t="s">
        <v>178</v>
      </c>
      <c r="F14" s="8" t="b">
        <f aca="false">TRUE()</f>
        <v>1</v>
      </c>
    </row>
    <row r="15" customFormat="false" ht="21.75" hidden="false" customHeight="true" outlineLevel="0" collapsed="false">
      <c r="A15" s="9" t="s">
        <v>179</v>
      </c>
      <c r="B15" s="9" t="s">
        <v>180</v>
      </c>
      <c r="C15" s="9" t="s">
        <v>181</v>
      </c>
      <c r="D15" s="9" t="s">
        <v>182</v>
      </c>
      <c r="E15" s="9" t="s">
        <v>183</v>
      </c>
      <c r="F15" s="10" t="b">
        <f aca="false">TRUE()</f>
        <v>1</v>
      </c>
    </row>
    <row r="16" customFormat="false" ht="21.75" hidden="false" customHeight="true" outlineLevel="0" collapsed="false">
      <c r="A16" s="7" t="s">
        <v>184</v>
      </c>
      <c r="B16" s="7" t="s">
        <v>185</v>
      </c>
      <c r="C16" s="7" t="s">
        <v>186</v>
      </c>
      <c r="D16" s="7" t="s">
        <v>182</v>
      </c>
      <c r="E16" s="7" t="s">
        <v>187</v>
      </c>
      <c r="F16" s="8" t="b">
        <f aca="false">TRUE()</f>
        <v>1</v>
      </c>
    </row>
    <row r="17" customFormat="false" ht="21.75" hidden="false" customHeight="true" outlineLevel="0" collapsed="false">
      <c r="A17" s="9" t="s">
        <v>188</v>
      </c>
      <c r="B17" s="9" t="s">
        <v>189</v>
      </c>
      <c r="C17" s="9" t="s">
        <v>190</v>
      </c>
      <c r="D17" s="9" t="s">
        <v>182</v>
      </c>
      <c r="E17" s="9" t="s">
        <v>191</v>
      </c>
      <c r="F17" s="10" t="b">
        <f aca="false">TRUE()</f>
        <v>1</v>
      </c>
    </row>
    <row r="18" customFormat="false" ht="21.75" hidden="false" customHeight="true" outlineLevel="0" collapsed="false">
      <c r="A18" s="7" t="s">
        <v>192</v>
      </c>
      <c r="B18" s="7" t="s">
        <v>193</v>
      </c>
      <c r="C18" s="7" t="s">
        <v>194</v>
      </c>
      <c r="D18" s="7" t="s">
        <v>182</v>
      </c>
      <c r="E18" s="7" t="s">
        <v>195</v>
      </c>
      <c r="F18" s="8" t="b">
        <f aca="false">TRUE()</f>
        <v>1</v>
      </c>
    </row>
    <row r="19" customFormat="false" ht="21.75" hidden="false" customHeight="true" outlineLevel="0" collapsed="false">
      <c r="A19" s="9" t="s">
        <v>196</v>
      </c>
      <c r="B19" s="9" t="s">
        <v>197</v>
      </c>
      <c r="C19" s="9" t="s">
        <v>198</v>
      </c>
      <c r="D19" s="9" t="s">
        <v>182</v>
      </c>
      <c r="E19" s="9" t="s">
        <v>199</v>
      </c>
      <c r="F19" s="10" t="b">
        <f aca="false">TRUE()</f>
        <v>1</v>
      </c>
    </row>
    <row r="20" customFormat="false" ht="21.75" hidden="false" customHeight="true" outlineLevel="0" collapsed="false">
      <c r="A20" s="7" t="s">
        <v>200</v>
      </c>
      <c r="B20" s="7" t="s">
        <v>201</v>
      </c>
      <c r="C20" s="7" t="s">
        <v>202</v>
      </c>
      <c r="D20" s="7" t="s">
        <v>182</v>
      </c>
      <c r="E20" s="7" t="s">
        <v>203</v>
      </c>
      <c r="F20" s="8" t="b">
        <f aca="false">TRUE()</f>
        <v>1</v>
      </c>
    </row>
    <row r="21" customFormat="false" ht="21.75" hidden="false" customHeight="true" outlineLevel="0" collapsed="false">
      <c r="A21" s="9" t="s">
        <v>204</v>
      </c>
      <c r="B21" s="9" t="s">
        <v>205</v>
      </c>
      <c r="C21" s="9" t="s">
        <v>206</v>
      </c>
      <c r="D21" s="9" t="s">
        <v>182</v>
      </c>
      <c r="E21" s="9" t="s">
        <v>207</v>
      </c>
      <c r="F21" s="10" t="b">
        <f aca="false">TRUE()</f>
        <v>1</v>
      </c>
    </row>
    <row r="22" customFormat="false" ht="21.75" hidden="false" customHeight="true" outlineLevel="0" collapsed="false">
      <c r="A22" s="7" t="s">
        <v>208</v>
      </c>
      <c r="B22" s="7" t="s">
        <v>209</v>
      </c>
      <c r="C22" s="7" t="s">
        <v>210</v>
      </c>
      <c r="D22" s="7" t="s">
        <v>182</v>
      </c>
      <c r="E22" s="7" t="s">
        <v>211</v>
      </c>
      <c r="F22" s="8" t="b">
        <f aca="false">TRUE()</f>
        <v>1</v>
      </c>
    </row>
    <row r="23" customFormat="false" ht="21.75" hidden="false" customHeight="true" outlineLevel="0" collapsed="false">
      <c r="A23" s="9" t="s">
        <v>212</v>
      </c>
      <c r="B23" s="9" t="s">
        <v>213</v>
      </c>
      <c r="C23" s="9" t="s">
        <v>214</v>
      </c>
      <c r="D23" s="9" t="s">
        <v>182</v>
      </c>
      <c r="E23" s="9" t="s">
        <v>215</v>
      </c>
      <c r="F23" s="10" t="b">
        <f aca="false">TRUE()</f>
        <v>1</v>
      </c>
    </row>
    <row r="24" customFormat="false" ht="21.75" hidden="false" customHeight="true" outlineLevel="0" collapsed="false">
      <c r="A24" s="7" t="s">
        <v>216</v>
      </c>
      <c r="B24" s="7" t="s">
        <v>217</v>
      </c>
      <c r="C24" s="7" t="s">
        <v>218</v>
      </c>
      <c r="D24" s="7" t="s">
        <v>182</v>
      </c>
      <c r="E24" s="7" t="s">
        <v>219</v>
      </c>
      <c r="F24" s="8" t="b">
        <f aca="false">TRUE()</f>
        <v>1</v>
      </c>
    </row>
    <row r="25" customFormat="false" ht="21.75" hidden="false" customHeight="true" outlineLevel="0" collapsed="false">
      <c r="A25" s="9" t="s">
        <v>220</v>
      </c>
      <c r="B25" s="9" t="s">
        <v>221</v>
      </c>
      <c r="C25" s="9" t="s">
        <v>222</v>
      </c>
      <c r="D25" s="9" t="s">
        <v>223</v>
      </c>
      <c r="E25" s="9" t="s">
        <v>224</v>
      </c>
      <c r="F25" s="10" t="b">
        <f aca="false">TRUE()</f>
        <v>1</v>
      </c>
    </row>
    <row r="26" customFormat="false" ht="21.75" hidden="false" customHeight="true" outlineLevel="0" collapsed="false">
      <c r="A26" s="7" t="s">
        <v>225</v>
      </c>
      <c r="B26" s="7" t="s">
        <v>226</v>
      </c>
      <c r="C26" s="7" t="s">
        <v>227</v>
      </c>
      <c r="D26" s="7" t="s">
        <v>223</v>
      </c>
      <c r="E26" s="7" t="s">
        <v>228</v>
      </c>
      <c r="F26" s="8" t="b">
        <f aca="false">TRUE()</f>
        <v>1</v>
      </c>
    </row>
    <row r="27" customFormat="false" ht="21.75" hidden="false" customHeight="true" outlineLevel="0" collapsed="false">
      <c r="A27" s="9" t="s">
        <v>229</v>
      </c>
      <c r="B27" s="9" t="s">
        <v>230</v>
      </c>
      <c r="C27" s="9" t="s">
        <v>231</v>
      </c>
      <c r="D27" s="9" t="s">
        <v>223</v>
      </c>
      <c r="E27" s="9" t="s">
        <v>232</v>
      </c>
      <c r="F27" s="10" t="b">
        <f aca="false">TRUE()</f>
        <v>1</v>
      </c>
    </row>
    <row r="28" customFormat="false" ht="21.75" hidden="false" customHeight="true" outlineLevel="0" collapsed="false">
      <c r="A28" s="7" t="s">
        <v>233</v>
      </c>
      <c r="B28" s="7" t="s">
        <v>234</v>
      </c>
      <c r="C28" s="7" t="s">
        <v>235</v>
      </c>
      <c r="D28" s="7" t="s">
        <v>223</v>
      </c>
      <c r="E28" s="7" t="s">
        <v>236</v>
      </c>
      <c r="F28" s="8" t="b">
        <f aca="false">TRUE()</f>
        <v>1</v>
      </c>
    </row>
    <row r="29" customFormat="false" ht="21.75" hidden="false" customHeight="true" outlineLevel="0" collapsed="false">
      <c r="A29" s="9" t="s">
        <v>237</v>
      </c>
      <c r="B29" s="9" t="s">
        <v>238</v>
      </c>
      <c r="C29" s="9" t="s">
        <v>239</v>
      </c>
      <c r="D29" s="9" t="s">
        <v>223</v>
      </c>
      <c r="E29" s="9" t="s">
        <v>240</v>
      </c>
      <c r="F29" s="10" t="b">
        <f aca="false">TRUE()</f>
        <v>1</v>
      </c>
    </row>
    <row r="30" customFormat="false" ht="21.75" hidden="false" customHeight="true" outlineLevel="0" collapsed="false">
      <c r="A30" s="7" t="s">
        <v>241</v>
      </c>
      <c r="B30" s="7" t="s">
        <v>242</v>
      </c>
      <c r="C30" s="7" t="s">
        <v>243</v>
      </c>
      <c r="D30" s="7" t="s">
        <v>223</v>
      </c>
      <c r="E30" s="7" t="s">
        <v>244</v>
      </c>
      <c r="F30" s="8" t="b">
        <f aca="false">TRUE()</f>
        <v>1</v>
      </c>
    </row>
    <row r="31" customFormat="false" ht="21.75" hidden="false" customHeight="true" outlineLevel="0" collapsed="false">
      <c r="A31" s="9" t="s">
        <v>245</v>
      </c>
      <c r="B31" s="9" t="s">
        <v>246</v>
      </c>
      <c r="C31" s="9" t="s">
        <v>247</v>
      </c>
      <c r="D31" s="9" t="s">
        <v>223</v>
      </c>
      <c r="E31" s="9" t="s">
        <v>248</v>
      </c>
      <c r="F31" s="10" t="b">
        <f aca="false">TRUE()</f>
        <v>1</v>
      </c>
    </row>
    <row r="32" customFormat="false" ht="21.75" hidden="false" customHeight="true" outlineLevel="0" collapsed="false">
      <c r="A32" s="7" t="s">
        <v>249</v>
      </c>
      <c r="B32" s="7" t="s">
        <v>250</v>
      </c>
      <c r="C32" s="7" t="s">
        <v>251</v>
      </c>
      <c r="D32" s="7" t="s">
        <v>223</v>
      </c>
      <c r="E32" s="7" t="s">
        <v>252</v>
      </c>
      <c r="F32" s="8" t="b">
        <f aca="false">TRUE()</f>
        <v>1</v>
      </c>
    </row>
    <row r="33" customFormat="false" ht="21.75" hidden="false" customHeight="true" outlineLevel="0" collapsed="false">
      <c r="A33" s="9" t="s">
        <v>253</v>
      </c>
      <c r="B33" s="9" t="s">
        <v>254</v>
      </c>
      <c r="C33" s="9" t="s">
        <v>255</v>
      </c>
      <c r="D33" s="9" t="s">
        <v>256</v>
      </c>
      <c r="E33" s="9" t="s">
        <v>257</v>
      </c>
      <c r="F33" s="10" t="b">
        <f aca="false">TRUE()</f>
        <v>1</v>
      </c>
    </row>
    <row r="34" customFormat="false" ht="21.75" hidden="false" customHeight="true" outlineLevel="0" collapsed="false">
      <c r="A34" s="7" t="s">
        <v>258</v>
      </c>
      <c r="B34" s="7" t="s">
        <v>259</v>
      </c>
      <c r="C34" s="7" t="s">
        <v>260</v>
      </c>
      <c r="D34" s="7" t="s">
        <v>256</v>
      </c>
      <c r="E34" s="7" t="s">
        <v>261</v>
      </c>
      <c r="F34" s="8" t="b">
        <f aca="false">TRUE()</f>
        <v>1</v>
      </c>
    </row>
    <row r="35" customFormat="false" ht="21.75" hidden="false" customHeight="true" outlineLevel="0" collapsed="false">
      <c r="A35" s="9" t="s">
        <v>262</v>
      </c>
      <c r="B35" s="9" t="s">
        <v>263</v>
      </c>
      <c r="C35" s="9" t="s">
        <v>264</v>
      </c>
      <c r="D35" s="9" t="s">
        <v>256</v>
      </c>
      <c r="E35" s="9" t="s">
        <v>265</v>
      </c>
      <c r="F35" s="10" t="b">
        <f aca="false">TRUE()</f>
        <v>1</v>
      </c>
    </row>
    <row r="36" customFormat="false" ht="21.75" hidden="false" customHeight="true" outlineLevel="0" collapsed="false">
      <c r="A36" s="7" t="s">
        <v>266</v>
      </c>
      <c r="B36" s="7" t="s">
        <v>267</v>
      </c>
      <c r="C36" s="7" t="s">
        <v>268</v>
      </c>
      <c r="D36" s="7" t="s">
        <v>256</v>
      </c>
      <c r="E36" s="7" t="s">
        <v>269</v>
      </c>
      <c r="F36" s="8" t="b">
        <f aca="false">TRUE()</f>
        <v>1</v>
      </c>
    </row>
    <row r="37" customFormat="false" ht="21.75" hidden="false" customHeight="true" outlineLevel="0" collapsed="false">
      <c r="A37" s="9" t="s">
        <v>270</v>
      </c>
      <c r="B37" s="9" t="s">
        <v>271</v>
      </c>
      <c r="C37" s="9" t="s">
        <v>272</v>
      </c>
      <c r="D37" s="9" t="s">
        <v>256</v>
      </c>
      <c r="E37" s="9" t="s">
        <v>273</v>
      </c>
      <c r="F37" s="10" t="b">
        <f aca="false">TRUE()</f>
        <v>1</v>
      </c>
    </row>
    <row r="38" customFormat="false" ht="21.75" hidden="false" customHeight="true" outlineLevel="0" collapsed="false">
      <c r="A38" s="7" t="s">
        <v>274</v>
      </c>
      <c r="B38" s="7" t="s">
        <v>275</v>
      </c>
      <c r="C38" s="7" t="s">
        <v>276</v>
      </c>
      <c r="D38" s="7" t="s">
        <v>256</v>
      </c>
      <c r="E38" s="7" t="s">
        <v>277</v>
      </c>
      <c r="F38" s="8" t="b">
        <f aca="false">TRUE()</f>
        <v>1</v>
      </c>
    </row>
    <row r="39" customFormat="false" ht="21.75" hidden="false" customHeight="true" outlineLevel="0" collapsed="false">
      <c r="A39" s="9" t="s">
        <v>278</v>
      </c>
      <c r="B39" s="9" t="s">
        <v>279</v>
      </c>
      <c r="C39" s="9" t="s">
        <v>280</v>
      </c>
      <c r="D39" s="9" t="s">
        <v>256</v>
      </c>
      <c r="E39" s="9" t="s">
        <v>281</v>
      </c>
      <c r="F39" s="10" t="b">
        <f aca="false">TRUE()</f>
        <v>1</v>
      </c>
    </row>
    <row r="40" customFormat="false" ht="21.75" hidden="false" customHeight="true" outlineLevel="0" collapsed="false">
      <c r="A40" s="7" t="s">
        <v>282</v>
      </c>
      <c r="B40" s="7" t="s">
        <v>283</v>
      </c>
      <c r="C40" s="7" t="s">
        <v>284</v>
      </c>
      <c r="D40" s="7" t="s">
        <v>256</v>
      </c>
      <c r="E40" s="7" t="s">
        <v>285</v>
      </c>
      <c r="F40" s="8" t="b">
        <f aca="false">TRUE()</f>
        <v>1</v>
      </c>
    </row>
    <row r="41" customFormat="false" ht="21.75" hidden="false" customHeight="true" outlineLevel="0" collapsed="false">
      <c r="A41" s="9" t="s">
        <v>286</v>
      </c>
      <c r="B41" s="9" t="s">
        <v>287</v>
      </c>
      <c r="C41" s="9" t="s">
        <v>288</v>
      </c>
      <c r="D41" s="9" t="s">
        <v>256</v>
      </c>
      <c r="E41" s="9" t="s">
        <v>289</v>
      </c>
      <c r="F41" s="10" t="b">
        <f aca="false">TRUE()</f>
        <v>1</v>
      </c>
    </row>
    <row r="42" customFormat="false" ht="21.75" hidden="false" customHeight="true" outlineLevel="0" collapsed="false">
      <c r="A42" s="7" t="s">
        <v>290</v>
      </c>
      <c r="B42" s="7" t="s">
        <v>291</v>
      </c>
      <c r="C42" s="7" t="s">
        <v>292</v>
      </c>
      <c r="D42" s="7" t="s">
        <v>293</v>
      </c>
      <c r="E42" s="7" t="s">
        <v>294</v>
      </c>
      <c r="F42" s="8" t="b">
        <f aca="false">TRUE()</f>
        <v>1</v>
      </c>
    </row>
    <row r="43" customFormat="false" ht="21.75" hidden="false" customHeight="true" outlineLevel="0" collapsed="false">
      <c r="A43" s="9" t="s">
        <v>295</v>
      </c>
      <c r="B43" s="9" t="s">
        <v>296</v>
      </c>
      <c r="C43" s="9" t="s">
        <v>297</v>
      </c>
      <c r="D43" s="9" t="s">
        <v>293</v>
      </c>
      <c r="E43" s="9" t="s">
        <v>298</v>
      </c>
      <c r="F43" s="10" t="b">
        <f aca="false">TRUE()</f>
        <v>1</v>
      </c>
    </row>
    <row r="44" customFormat="false" ht="21.75" hidden="false" customHeight="true" outlineLevel="0" collapsed="false">
      <c r="A44" s="7" t="s">
        <v>299</v>
      </c>
      <c r="B44" s="7" t="s">
        <v>300</v>
      </c>
      <c r="C44" s="7" t="s">
        <v>301</v>
      </c>
      <c r="D44" s="7" t="s">
        <v>293</v>
      </c>
      <c r="E44" s="7" t="s">
        <v>302</v>
      </c>
      <c r="F44" s="8" t="b">
        <f aca="false">TRUE()</f>
        <v>1</v>
      </c>
    </row>
    <row r="45" customFormat="false" ht="21.75" hidden="false" customHeight="true" outlineLevel="0" collapsed="false">
      <c r="A45" s="9" t="s">
        <v>303</v>
      </c>
      <c r="B45" s="9" t="s">
        <v>304</v>
      </c>
      <c r="C45" s="9" t="s">
        <v>305</v>
      </c>
      <c r="D45" s="9" t="s">
        <v>293</v>
      </c>
      <c r="E45" s="9" t="s">
        <v>306</v>
      </c>
      <c r="F45" s="10" t="b">
        <f aca="false">TRUE()</f>
        <v>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P1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8"/>
    <col collapsed="false" customWidth="true" hidden="false" outlineLevel="0" max="2" min="2" style="0" width="35"/>
    <col collapsed="false" customWidth="true" hidden="false" outlineLevel="0" max="3" min="3" style="0" width="28"/>
    <col collapsed="false" customWidth="true" hidden="false" outlineLevel="0" max="4" min="4" style="0" width="22"/>
    <col collapsed="false" customWidth="true" hidden="false" outlineLevel="0" max="5" min="5" style="0" width="35"/>
    <col collapsed="false" customWidth="true" hidden="false" outlineLevel="0" max="6" min="6" style="0" width="55"/>
    <col collapsed="false" customWidth="true" hidden="false" outlineLevel="0" max="7" min="7" style="0" width="45"/>
    <col collapsed="false" customWidth="true" hidden="false" outlineLevel="0" max="8" min="8" style="0" width="18"/>
    <col collapsed="false" customWidth="true" hidden="false" outlineLevel="0" max="9" min="9" style="0" width="14"/>
    <col collapsed="false" customWidth="true" hidden="false" outlineLevel="0" max="10" min="10" style="0" width="18"/>
    <col collapsed="false" customWidth="true" hidden="false" outlineLevel="0" max="11" min="11" style="0" width="16"/>
    <col collapsed="false" customWidth="true" hidden="false" outlineLevel="0" max="14" min="12" style="0" width="12"/>
    <col collapsed="false" customWidth="true" hidden="false" outlineLevel="0" max="15" min="15" style="0" width="10"/>
    <col collapsed="false" customWidth="true" hidden="false" outlineLevel="0" max="16" min="16" style="0" width="20"/>
    <col collapsed="false" customWidth="true" hidden="false" outlineLevel="0" max="18" min="17" style="0" width="14"/>
    <col collapsed="false" customWidth="true" hidden="false" outlineLevel="0" max="19" min="19" style="0" width="16"/>
    <col collapsed="false" customWidth="true" hidden="false" outlineLevel="0" max="20" min="20" style="0" width="30"/>
    <col collapsed="false" customWidth="true" hidden="false" outlineLevel="0" max="21" min="21" style="0" width="12"/>
    <col collapsed="false" customWidth="true" hidden="false" outlineLevel="0" max="22" min="22" style="0" width="28"/>
    <col collapsed="false" customWidth="true" hidden="false" outlineLevel="0" max="24" min="23" style="0" width="10"/>
    <col collapsed="false" customWidth="true" hidden="false" outlineLevel="0" max="25" min="25" style="0" width="14"/>
    <col collapsed="false" customWidth="true" hidden="false" outlineLevel="0" max="27" min="26" style="0" width="12"/>
    <col collapsed="false" customWidth="true" hidden="false" outlineLevel="0" max="28" min="28" style="0" width="24"/>
    <col collapsed="false" customWidth="true" hidden="false" outlineLevel="0" max="29" min="29" style="0" width="16"/>
    <col collapsed="false" customWidth="true" hidden="false" outlineLevel="0" max="31" min="30" style="0" width="38"/>
    <col collapsed="false" customWidth="true" hidden="false" outlineLevel="0" max="33" min="32" style="0" width="8"/>
    <col collapsed="false" customWidth="true" hidden="false" outlineLevel="0" max="34" min="34" style="0" width="28"/>
    <col collapsed="false" customWidth="true" hidden="false" outlineLevel="0" max="35" min="35" style="0" width="45"/>
    <col collapsed="false" customWidth="true" hidden="false" outlineLevel="0" max="38" min="36" style="0" width="12"/>
    <col collapsed="false" customWidth="true" hidden="false" outlineLevel="0" max="39" min="39" style="0" width="18"/>
    <col collapsed="false" customWidth="true" hidden="false" outlineLevel="0" max="40" min="40" style="0" width="24"/>
    <col collapsed="false" customWidth="true" hidden="false" outlineLevel="0" max="41" min="41" style="0" width="28"/>
    <col collapsed="false" customWidth="true" hidden="false" outlineLevel="0" max="42" min="42" style="0" width="10"/>
  </cols>
  <sheetData>
    <row r="1" customFormat="false" ht="30" hidden="false" customHeight="true" outlineLevel="0" collapsed="false">
      <c r="A1" s="6" t="s">
        <v>53</v>
      </c>
      <c r="B1" s="6" t="s">
        <v>54</v>
      </c>
      <c r="C1" s="6" t="s">
        <v>55</v>
      </c>
      <c r="D1" s="6" t="s">
        <v>307</v>
      </c>
      <c r="E1" s="6" t="s">
        <v>308</v>
      </c>
      <c r="F1" s="6" t="s">
        <v>58</v>
      </c>
      <c r="G1" s="6" t="s">
        <v>309</v>
      </c>
      <c r="H1" s="6" t="s">
        <v>310</v>
      </c>
      <c r="I1" s="6" t="s">
        <v>311</v>
      </c>
      <c r="J1" s="6" t="s">
        <v>312</v>
      </c>
      <c r="K1" s="6" t="s">
        <v>313</v>
      </c>
      <c r="L1" s="6" t="s">
        <v>314</v>
      </c>
      <c r="M1" s="6" t="s">
        <v>315</v>
      </c>
      <c r="N1" s="6" t="s">
        <v>316</v>
      </c>
      <c r="O1" s="6" t="s">
        <v>317</v>
      </c>
      <c r="P1" s="6" t="s">
        <v>318</v>
      </c>
      <c r="Q1" s="6" t="s">
        <v>319</v>
      </c>
      <c r="R1" s="6" t="s">
        <v>320</v>
      </c>
      <c r="S1" s="6" t="s">
        <v>321</v>
      </c>
      <c r="T1" s="6" t="s">
        <v>322</v>
      </c>
      <c r="U1" s="6" t="s">
        <v>323</v>
      </c>
      <c r="V1" s="6" t="s">
        <v>324</v>
      </c>
      <c r="W1" s="6" t="s">
        <v>325</v>
      </c>
      <c r="X1" s="6" t="s">
        <v>326</v>
      </c>
      <c r="Y1" s="6" t="s">
        <v>327</v>
      </c>
      <c r="Z1" s="6" t="s">
        <v>328</v>
      </c>
      <c r="AA1" s="6" t="s">
        <v>329</v>
      </c>
      <c r="AB1" s="6" t="s">
        <v>330</v>
      </c>
      <c r="AC1" s="6" t="s">
        <v>331</v>
      </c>
      <c r="AD1" s="6" t="s">
        <v>332</v>
      </c>
      <c r="AE1" s="6" t="s">
        <v>333</v>
      </c>
      <c r="AF1" s="6" t="s">
        <v>334</v>
      </c>
      <c r="AG1" s="6" t="s">
        <v>335</v>
      </c>
      <c r="AH1" s="6" t="s">
        <v>336</v>
      </c>
      <c r="AI1" s="6" t="s">
        <v>337</v>
      </c>
      <c r="AJ1" s="6" t="s">
        <v>338</v>
      </c>
      <c r="AK1" s="6" t="s">
        <v>339</v>
      </c>
      <c r="AL1" s="6" t="s">
        <v>340</v>
      </c>
      <c r="AM1" s="6" t="s">
        <v>341</v>
      </c>
      <c r="AN1" s="6" t="s">
        <v>342</v>
      </c>
      <c r="AO1" s="6" t="s">
        <v>343</v>
      </c>
      <c r="AP1" s="6" t="s">
        <v>344</v>
      </c>
    </row>
    <row r="2" customFormat="false" ht="21.75" hidden="false" customHeight="true" outlineLevel="0" collapsed="false">
      <c r="A2" s="7" t="s">
        <v>345</v>
      </c>
      <c r="B2" s="7" t="s">
        <v>346</v>
      </c>
      <c r="C2" s="7" t="s">
        <v>347</v>
      </c>
      <c r="D2" s="7" t="s">
        <v>348</v>
      </c>
      <c r="E2" s="7" t="s">
        <v>349</v>
      </c>
      <c r="F2" s="7" t="s">
        <v>350</v>
      </c>
      <c r="G2" s="7" t="s">
        <v>351</v>
      </c>
      <c r="H2" s="7" t="s">
        <v>352</v>
      </c>
      <c r="I2" s="7" t="s">
        <v>353</v>
      </c>
      <c r="J2" s="7" t="s">
        <v>354</v>
      </c>
      <c r="K2" s="7" t="s">
        <v>355</v>
      </c>
      <c r="L2" s="7" t="s">
        <v>356</v>
      </c>
      <c r="M2" s="7" t="s">
        <v>357</v>
      </c>
      <c r="N2" s="7" t="s">
        <v>358</v>
      </c>
      <c r="O2" s="8" t="b">
        <f aca="false">FALSE()</f>
        <v>0</v>
      </c>
      <c r="P2" s="7" t="s">
        <v>359</v>
      </c>
      <c r="Q2" s="7"/>
      <c r="R2" s="7"/>
      <c r="S2" s="7"/>
      <c r="T2" s="7" t="s">
        <v>360</v>
      </c>
      <c r="U2" s="8" t="b">
        <f aca="false">TRUE()</f>
        <v>1</v>
      </c>
      <c r="V2" s="7" t="s">
        <v>361</v>
      </c>
      <c r="W2" s="7" t="s">
        <v>362</v>
      </c>
      <c r="X2" s="7"/>
      <c r="Y2" s="7" t="s">
        <v>362</v>
      </c>
      <c r="Z2" s="8" t="b">
        <f aca="false">TRUE()</f>
        <v>1</v>
      </c>
      <c r="AA2" s="8" t="b">
        <f aca="false">FALSE()</f>
        <v>0</v>
      </c>
      <c r="AB2" s="7" t="s">
        <v>363</v>
      </c>
      <c r="AC2" s="7" t="s">
        <v>364</v>
      </c>
      <c r="AD2" s="7" t="s">
        <v>365</v>
      </c>
      <c r="AE2" s="7" t="s">
        <v>366</v>
      </c>
      <c r="AF2" s="7" t="n">
        <v>0</v>
      </c>
      <c r="AG2" s="7" t="n">
        <v>100</v>
      </c>
      <c r="AH2" s="7" t="s">
        <v>367</v>
      </c>
      <c r="AI2" s="7" t="s">
        <v>368</v>
      </c>
      <c r="AJ2" s="7" t="n">
        <v>0.4</v>
      </c>
      <c r="AK2" s="7" t="n">
        <v>0.2</v>
      </c>
      <c r="AL2" s="7" t="n">
        <v>0.4</v>
      </c>
      <c r="AM2" s="7" t="s">
        <v>354</v>
      </c>
      <c r="AN2" s="7" t="s">
        <v>369</v>
      </c>
      <c r="AO2" s="7" t="s">
        <v>370</v>
      </c>
      <c r="AP2" s="8" t="b">
        <f aca="false">FALSE()</f>
        <v>0</v>
      </c>
    </row>
    <row r="3" customFormat="false" ht="21.75" hidden="false" customHeight="true" outlineLevel="0" collapsed="false">
      <c r="A3" s="9" t="s">
        <v>371</v>
      </c>
      <c r="B3" s="9" t="s">
        <v>372</v>
      </c>
      <c r="C3" s="9" t="s">
        <v>373</v>
      </c>
      <c r="D3" s="9" t="s">
        <v>348</v>
      </c>
      <c r="E3" s="9" t="s">
        <v>374</v>
      </c>
      <c r="F3" s="9" t="s">
        <v>375</v>
      </c>
      <c r="G3" s="9" t="s">
        <v>376</v>
      </c>
      <c r="H3" s="9" t="s">
        <v>352</v>
      </c>
      <c r="I3" s="9" t="s">
        <v>353</v>
      </c>
      <c r="J3" s="9" t="s">
        <v>354</v>
      </c>
      <c r="K3" s="9" t="s">
        <v>355</v>
      </c>
      <c r="L3" s="9" t="s">
        <v>356</v>
      </c>
      <c r="M3" s="9" t="s">
        <v>357</v>
      </c>
      <c r="N3" s="9" t="s">
        <v>358</v>
      </c>
      <c r="O3" s="10" t="b">
        <f aca="false">FALSE()</f>
        <v>0</v>
      </c>
      <c r="P3" s="9" t="s">
        <v>359</v>
      </c>
      <c r="Q3" s="9"/>
      <c r="R3" s="9"/>
      <c r="S3" s="9"/>
      <c r="T3" s="9"/>
      <c r="U3" s="9" t="s">
        <v>377</v>
      </c>
      <c r="V3" s="9" t="s">
        <v>378</v>
      </c>
      <c r="W3" s="9" t="s">
        <v>362</v>
      </c>
      <c r="X3" s="9"/>
      <c r="Y3" s="9" t="s">
        <v>362</v>
      </c>
      <c r="Z3" s="10" t="b">
        <f aca="false">TRUE()</f>
        <v>1</v>
      </c>
      <c r="AA3" s="10" t="b">
        <f aca="false">FALSE()</f>
        <v>0</v>
      </c>
      <c r="AB3" s="9" t="s">
        <v>363</v>
      </c>
      <c r="AC3" s="9" t="s">
        <v>364</v>
      </c>
      <c r="AD3" s="9" t="s">
        <v>379</v>
      </c>
      <c r="AE3" s="9" t="s">
        <v>380</v>
      </c>
      <c r="AF3" s="9" t="n">
        <v>0</v>
      </c>
      <c r="AG3" s="9" t="n">
        <v>100</v>
      </c>
      <c r="AH3" s="9" t="s">
        <v>367</v>
      </c>
      <c r="AI3" s="9" t="s">
        <v>381</v>
      </c>
      <c r="AJ3" s="9" t="n">
        <v>0.5</v>
      </c>
      <c r="AK3" s="9" t="n">
        <v>0.1</v>
      </c>
      <c r="AL3" s="9" t="n">
        <v>0.4</v>
      </c>
      <c r="AM3" s="9" t="s">
        <v>354</v>
      </c>
      <c r="AN3" s="9" t="s">
        <v>369</v>
      </c>
      <c r="AO3" s="9" t="s">
        <v>370</v>
      </c>
      <c r="AP3" s="10" t="b">
        <f aca="false">FALSE()</f>
        <v>0</v>
      </c>
    </row>
    <row r="4" customFormat="false" ht="21.75" hidden="false" customHeight="true" outlineLevel="0" collapsed="false">
      <c r="A4" s="7" t="s">
        <v>382</v>
      </c>
      <c r="B4" s="7" t="s">
        <v>383</v>
      </c>
      <c r="C4" s="7" t="s">
        <v>384</v>
      </c>
      <c r="D4" s="7" t="s">
        <v>348</v>
      </c>
      <c r="E4" s="7" t="s">
        <v>385</v>
      </c>
      <c r="F4" s="7" t="s">
        <v>386</v>
      </c>
      <c r="G4" s="7" t="s">
        <v>387</v>
      </c>
      <c r="H4" s="7" t="s">
        <v>352</v>
      </c>
      <c r="I4" s="7" t="s">
        <v>353</v>
      </c>
      <c r="J4" s="7" t="s">
        <v>388</v>
      </c>
      <c r="K4" s="7" t="s">
        <v>355</v>
      </c>
      <c r="L4" s="7" t="s">
        <v>356</v>
      </c>
      <c r="M4" s="7" t="s">
        <v>389</v>
      </c>
      <c r="N4" s="7" t="s">
        <v>390</v>
      </c>
      <c r="O4" s="8" t="b">
        <f aca="false">FALSE()</f>
        <v>0</v>
      </c>
      <c r="P4" s="7" t="s">
        <v>359</v>
      </c>
      <c r="Q4" s="7"/>
      <c r="R4" s="7"/>
      <c r="S4" s="7"/>
      <c r="T4" s="7"/>
      <c r="U4" s="7" t="s">
        <v>377</v>
      </c>
      <c r="V4" s="7" t="s">
        <v>391</v>
      </c>
      <c r="W4" s="7" t="s">
        <v>362</v>
      </c>
      <c r="X4" s="7"/>
      <c r="Y4" s="7" t="s">
        <v>362</v>
      </c>
      <c r="Z4" s="8" t="b">
        <f aca="false">TRUE()</f>
        <v>1</v>
      </c>
      <c r="AA4" s="8" t="b">
        <f aca="false">FALSE()</f>
        <v>0</v>
      </c>
      <c r="AB4" s="7" t="s">
        <v>392</v>
      </c>
      <c r="AC4" s="7" t="s">
        <v>364</v>
      </c>
      <c r="AD4" s="7" t="s">
        <v>393</v>
      </c>
      <c r="AE4" s="7" t="s">
        <v>394</v>
      </c>
      <c r="AF4" s="7" t="n">
        <v>0</v>
      </c>
      <c r="AG4" s="7" t="n">
        <v>74</v>
      </c>
      <c r="AH4" s="7" t="s">
        <v>395</v>
      </c>
      <c r="AI4" s="7" t="s">
        <v>396</v>
      </c>
      <c r="AJ4" s="7" t="n">
        <v>0.5</v>
      </c>
      <c r="AK4" s="7" t="n">
        <v>0.2</v>
      </c>
      <c r="AL4" s="7" t="n">
        <v>0.3</v>
      </c>
      <c r="AM4" s="7" t="s">
        <v>397</v>
      </c>
      <c r="AN4" s="7" t="s">
        <v>369</v>
      </c>
      <c r="AO4" s="7" t="s">
        <v>370</v>
      </c>
      <c r="AP4" s="8" t="b">
        <f aca="false">FALSE()</f>
        <v>0</v>
      </c>
    </row>
    <row r="5" customFormat="false" ht="21.75" hidden="false" customHeight="true" outlineLevel="0" collapsed="false">
      <c r="A5" s="9" t="s">
        <v>398</v>
      </c>
      <c r="B5" s="9" t="s">
        <v>399</v>
      </c>
      <c r="C5" s="9" t="s">
        <v>400</v>
      </c>
      <c r="D5" s="9" t="s">
        <v>348</v>
      </c>
      <c r="E5" s="9" t="s">
        <v>401</v>
      </c>
      <c r="F5" s="9" t="s">
        <v>402</v>
      </c>
      <c r="G5" s="9" t="s">
        <v>403</v>
      </c>
      <c r="H5" s="9" t="s">
        <v>352</v>
      </c>
      <c r="I5" s="9" t="s">
        <v>353</v>
      </c>
      <c r="J5" s="9" t="s">
        <v>354</v>
      </c>
      <c r="K5" s="9" t="s">
        <v>355</v>
      </c>
      <c r="L5" s="9" t="s">
        <v>356</v>
      </c>
      <c r="M5" s="9" t="s">
        <v>404</v>
      </c>
      <c r="N5" s="9" t="s">
        <v>405</v>
      </c>
      <c r="O5" s="10" t="b">
        <f aca="false">FALSE()</f>
        <v>0</v>
      </c>
      <c r="P5" s="9" t="s">
        <v>359</v>
      </c>
      <c r="Q5" s="9"/>
      <c r="R5" s="9"/>
      <c r="S5" s="9"/>
      <c r="T5" s="9"/>
      <c r="U5" s="10" t="b">
        <f aca="false">FALSE()</f>
        <v>0</v>
      </c>
      <c r="V5" s="9" t="s">
        <v>406</v>
      </c>
      <c r="W5" s="9" t="s">
        <v>362</v>
      </c>
      <c r="X5" s="9"/>
      <c r="Y5" s="9" t="s">
        <v>362</v>
      </c>
      <c r="Z5" s="10" t="b">
        <f aca="false">TRUE()</f>
        <v>1</v>
      </c>
      <c r="AA5" s="10" t="b">
        <f aca="false">TRUE()</f>
        <v>1</v>
      </c>
      <c r="AB5" s="9" t="s">
        <v>392</v>
      </c>
      <c r="AC5" s="9" t="s">
        <v>364</v>
      </c>
      <c r="AD5" s="9" t="s">
        <v>407</v>
      </c>
      <c r="AE5" s="9" t="s">
        <v>408</v>
      </c>
      <c r="AF5" s="9" t="n">
        <v>0</v>
      </c>
      <c r="AG5" s="9" t="n">
        <v>74</v>
      </c>
      <c r="AH5" s="9" t="s">
        <v>395</v>
      </c>
      <c r="AI5" s="9" t="s">
        <v>409</v>
      </c>
      <c r="AJ5" s="9" t="n">
        <v>0.45</v>
      </c>
      <c r="AK5" s="9" t="n">
        <v>0.25</v>
      </c>
      <c r="AL5" s="9" t="n">
        <v>0.3</v>
      </c>
      <c r="AM5" s="9" t="s">
        <v>354</v>
      </c>
      <c r="AN5" s="9" t="s">
        <v>369</v>
      </c>
      <c r="AO5" s="9" t="s">
        <v>370</v>
      </c>
      <c r="AP5" s="10" t="b">
        <f aca="false">FALSE()</f>
        <v>0</v>
      </c>
    </row>
    <row r="6" customFormat="false" ht="21.75" hidden="false" customHeight="true" outlineLevel="0" collapsed="false">
      <c r="A6" s="7" t="s">
        <v>410</v>
      </c>
      <c r="B6" s="7" t="s">
        <v>411</v>
      </c>
      <c r="C6" s="7" t="s">
        <v>412</v>
      </c>
      <c r="D6" s="7" t="s">
        <v>348</v>
      </c>
      <c r="E6" s="7" t="s">
        <v>413</v>
      </c>
      <c r="F6" s="7" t="s">
        <v>414</v>
      </c>
      <c r="G6" s="7" t="s">
        <v>415</v>
      </c>
      <c r="H6" s="7" t="s">
        <v>352</v>
      </c>
      <c r="I6" s="7" t="s">
        <v>353</v>
      </c>
      <c r="J6" s="7" t="s">
        <v>388</v>
      </c>
      <c r="K6" s="7" t="s">
        <v>355</v>
      </c>
      <c r="L6" s="7" t="s">
        <v>416</v>
      </c>
      <c r="M6" s="7" t="s">
        <v>417</v>
      </c>
      <c r="N6" s="7" t="s">
        <v>418</v>
      </c>
      <c r="O6" s="8" t="b">
        <f aca="false">FALSE()</f>
        <v>0</v>
      </c>
      <c r="P6" s="7" t="s">
        <v>359</v>
      </c>
      <c r="Q6" s="7"/>
      <c r="R6" s="7"/>
      <c r="S6" s="7"/>
      <c r="T6" s="7"/>
      <c r="U6" s="8" t="b">
        <f aca="false">FALSE()</f>
        <v>0</v>
      </c>
      <c r="V6" s="7" t="s">
        <v>378</v>
      </c>
      <c r="W6" s="7" t="s">
        <v>362</v>
      </c>
      <c r="X6" s="7"/>
      <c r="Y6" s="7" t="s">
        <v>362</v>
      </c>
      <c r="Z6" s="8" t="b">
        <f aca="false">TRUE()</f>
        <v>1</v>
      </c>
      <c r="AA6" s="8" t="b">
        <f aca="false">FALSE()</f>
        <v>0</v>
      </c>
      <c r="AB6" s="7" t="s">
        <v>392</v>
      </c>
      <c r="AC6" s="7" t="s">
        <v>419</v>
      </c>
      <c r="AD6" s="7" t="s">
        <v>420</v>
      </c>
      <c r="AE6" s="7" t="s">
        <v>421</v>
      </c>
      <c r="AF6" s="7" t="n">
        <v>0</v>
      </c>
      <c r="AG6" s="7" t="n">
        <v>100</v>
      </c>
      <c r="AH6" s="7" t="s">
        <v>367</v>
      </c>
      <c r="AI6" s="7" t="s">
        <v>422</v>
      </c>
      <c r="AJ6" s="7" t="n">
        <v>0.35</v>
      </c>
      <c r="AK6" s="7" t="n">
        <v>0.25</v>
      </c>
      <c r="AL6" s="7" t="n">
        <v>0.4</v>
      </c>
      <c r="AM6" s="7" t="s">
        <v>397</v>
      </c>
      <c r="AN6" s="7" t="s">
        <v>423</v>
      </c>
      <c r="AO6" s="7" t="s">
        <v>370</v>
      </c>
      <c r="AP6" s="8" t="b">
        <f aca="false">TRUE()</f>
        <v>1</v>
      </c>
    </row>
    <row r="7" customFormat="false" ht="21.75" hidden="false" customHeight="true" outlineLevel="0" collapsed="false">
      <c r="A7" s="9" t="s">
        <v>424</v>
      </c>
      <c r="B7" s="9" t="s">
        <v>425</v>
      </c>
      <c r="C7" s="9" t="s">
        <v>426</v>
      </c>
      <c r="D7" s="9" t="s">
        <v>348</v>
      </c>
      <c r="E7" s="9" t="s">
        <v>427</v>
      </c>
      <c r="F7" s="9" t="s">
        <v>428</v>
      </c>
      <c r="G7" s="9" t="s">
        <v>429</v>
      </c>
      <c r="H7" s="9" t="s">
        <v>352</v>
      </c>
      <c r="I7" s="9" t="s">
        <v>353</v>
      </c>
      <c r="J7" s="9" t="s">
        <v>388</v>
      </c>
      <c r="K7" s="9" t="s">
        <v>355</v>
      </c>
      <c r="L7" s="9" t="s">
        <v>356</v>
      </c>
      <c r="M7" s="9" t="s">
        <v>430</v>
      </c>
      <c r="N7" s="9" t="s">
        <v>431</v>
      </c>
      <c r="O7" s="10" t="b">
        <f aca="false">FALSE()</f>
        <v>0</v>
      </c>
      <c r="P7" s="9" t="s">
        <v>359</v>
      </c>
      <c r="Q7" s="9"/>
      <c r="R7" s="9"/>
      <c r="S7" s="9"/>
      <c r="T7" s="9"/>
      <c r="U7" s="10" t="b">
        <f aca="false">FALSE()</f>
        <v>0</v>
      </c>
      <c r="V7" s="9" t="s">
        <v>406</v>
      </c>
      <c r="W7" s="9" t="s">
        <v>362</v>
      </c>
      <c r="X7" s="9"/>
      <c r="Y7" s="9" t="s">
        <v>432</v>
      </c>
      <c r="Z7" s="10" t="b">
        <f aca="false">TRUE()</f>
        <v>1</v>
      </c>
      <c r="AA7" s="10" t="b">
        <f aca="false">FALSE()</f>
        <v>0</v>
      </c>
      <c r="AB7" s="9" t="s">
        <v>363</v>
      </c>
      <c r="AC7" s="9" t="s">
        <v>433</v>
      </c>
      <c r="AD7" s="9" t="s">
        <v>434</v>
      </c>
      <c r="AE7" s="9" t="s">
        <v>435</v>
      </c>
      <c r="AF7" s="9" t="n">
        <v>0</v>
      </c>
      <c r="AG7" s="9" t="n">
        <v>74</v>
      </c>
      <c r="AH7" s="9" t="s">
        <v>395</v>
      </c>
      <c r="AI7" s="9" t="s">
        <v>436</v>
      </c>
      <c r="AJ7" s="9" t="n">
        <v>0.4</v>
      </c>
      <c r="AK7" s="9" t="n">
        <v>0.2</v>
      </c>
      <c r="AL7" s="9" t="n">
        <v>0.4</v>
      </c>
      <c r="AM7" s="9" t="s">
        <v>397</v>
      </c>
      <c r="AN7" s="9" t="s">
        <v>369</v>
      </c>
      <c r="AO7" s="9" t="s">
        <v>370</v>
      </c>
      <c r="AP7" s="10" t="b">
        <f aca="false">FALSE()</f>
        <v>0</v>
      </c>
    </row>
    <row r="8" customFormat="false" ht="21.75" hidden="false" customHeight="true" outlineLevel="0" collapsed="false">
      <c r="A8" s="7" t="s">
        <v>437</v>
      </c>
      <c r="B8" s="7" t="s">
        <v>438</v>
      </c>
      <c r="C8" s="7" t="s">
        <v>439</v>
      </c>
      <c r="D8" s="7" t="s">
        <v>348</v>
      </c>
      <c r="E8" s="7" t="s">
        <v>440</v>
      </c>
      <c r="F8" s="7" t="s">
        <v>441</v>
      </c>
      <c r="G8" s="7" t="s">
        <v>442</v>
      </c>
      <c r="H8" s="7" t="s">
        <v>352</v>
      </c>
      <c r="I8" s="7" t="s">
        <v>353</v>
      </c>
      <c r="J8" s="7" t="s">
        <v>354</v>
      </c>
      <c r="K8" s="7" t="s">
        <v>355</v>
      </c>
      <c r="L8" s="7" t="s">
        <v>356</v>
      </c>
      <c r="M8" s="7" t="s">
        <v>443</v>
      </c>
      <c r="N8" s="7" t="s">
        <v>444</v>
      </c>
      <c r="O8" s="8" t="b">
        <f aca="false">FALSE()</f>
        <v>0</v>
      </c>
      <c r="P8" s="7" t="s">
        <v>359</v>
      </c>
      <c r="Q8" s="7"/>
      <c r="R8" s="7"/>
      <c r="S8" s="7"/>
      <c r="T8" s="7"/>
      <c r="U8" s="8" t="b">
        <f aca="false">FALSE()</f>
        <v>0</v>
      </c>
      <c r="V8" s="7" t="s">
        <v>445</v>
      </c>
      <c r="W8" s="7" t="s">
        <v>362</v>
      </c>
      <c r="X8" s="7"/>
      <c r="Y8" s="7" t="s">
        <v>446</v>
      </c>
      <c r="Z8" s="8" t="b">
        <f aca="false">TRUE()</f>
        <v>1</v>
      </c>
      <c r="AA8" s="8" t="b">
        <f aca="false">TRUE()</f>
        <v>1</v>
      </c>
      <c r="AB8" s="7" t="s">
        <v>392</v>
      </c>
      <c r="AC8" s="7" t="s">
        <v>364</v>
      </c>
      <c r="AD8" s="7" t="s">
        <v>447</v>
      </c>
      <c r="AE8" s="7" t="s">
        <v>448</v>
      </c>
      <c r="AF8" s="7" t="n">
        <v>25</v>
      </c>
      <c r="AG8" s="7" t="n">
        <v>74</v>
      </c>
      <c r="AH8" s="7" t="s">
        <v>449</v>
      </c>
      <c r="AI8" s="7" t="s">
        <v>450</v>
      </c>
      <c r="AJ8" s="7" t="n">
        <v>0.4</v>
      </c>
      <c r="AK8" s="7" t="n">
        <v>0.3</v>
      </c>
      <c r="AL8" s="7" t="n">
        <v>0.3</v>
      </c>
      <c r="AM8" s="7" t="s">
        <v>354</v>
      </c>
      <c r="AN8" s="7" t="s">
        <v>369</v>
      </c>
      <c r="AO8" s="7" t="s">
        <v>370</v>
      </c>
      <c r="AP8" s="8" t="b">
        <f aca="false">FALSE()</f>
        <v>0</v>
      </c>
    </row>
    <row r="9" customFormat="false" ht="21.75" hidden="false" customHeight="true" outlineLevel="0" collapsed="false">
      <c r="A9" s="9" t="s">
        <v>451</v>
      </c>
      <c r="B9" s="9" t="s">
        <v>452</v>
      </c>
      <c r="C9" s="9" t="s">
        <v>453</v>
      </c>
      <c r="D9" s="9" t="s">
        <v>348</v>
      </c>
      <c r="E9" s="9" t="s">
        <v>454</v>
      </c>
      <c r="F9" s="9" t="s">
        <v>455</v>
      </c>
      <c r="G9" s="9" t="s">
        <v>456</v>
      </c>
      <c r="H9" s="9" t="s">
        <v>352</v>
      </c>
      <c r="I9" s="9" t="s">
        <v>353</v>
      </c>
      <c r="J9" s="9" t="s">
        <v>354</v>
      </c>
      <c r="K9" s="9" t="s">
        <v>355</v>
      </c>
      <c r="L9" s="9" t="s">
        <v>356</v>
      </c>
      <c r="M9" s="9" t="s">
        <v>457</v>
      </c>
      <c r="N9" s="9" t="s">
        <v>458</v>
      </c>
      <c r="O9" s="10" t="b">
        <f aca="false">FALSE()</f>
        <v>0</v>
      </c>
      <c r="P9" s="9" t="s">
        <v>359</v>
      </c>
      <c r="Q9" s="9"/>
      <c r="R9" s="9"/>
      <c r="S9" s="9"/>
      <c r="T9" s="9"/>
      <c r="U9" s="10" t="b">
        <f aca="false">FALSE()</f>
        <v>0</v>
      </c>
      <c r="V9" s="9" t="s">
        <v>459</v>
      </c>
      <c r="W9" s="9" t="s">
        <v>362</v>
      </c>
      <c r="X9" s="9"/>
      <c r="Y9" s="9" t="s">
        <v>362</v>
      </c>
      <c r="Z9" s="10" t="b">
        <f aca="false">TRUE()</f>
        <v>1</v>
      </c>
      <c r="AA9" s="10" t="b">
        <f aca="false">FALSE()</f>
        <v>0</v>
      </c>
      <c r="AB9" s="9" t="s">
        <v>363</v>
      </c>
      <c r="AC9" s="9" t="s">
        <v>364</v>
      </c>
      <c r="AD9" s="9" t="s">
        <v>460</v>
      </c>
      <c r="AE9" s="9" t="s">
        <v>461</v>
      </c>
      <c r="AF9" s="9" t="n">
        <v>0</v>
      </c>
      <c r="AG9" s="9" t="n">
        <v>74</v>
      </c>
      <c r="AH9" s="9" t="s">
        <v>395</v>
      </c>
      <c r="AI9" s="9" t="s">
        <v>462</v>
      </c>
      <c r="AJ9" s="9" t="n">
        <v>0.5</v>
      </c>
      <c r="AK9" s="9" t="n">
        <v>0.15</v>
      </c>
      <c r="AL9" s="9" t="n">
        <v>0.35</v>
      </c>
      <c r="AM9" s="9" t="s">
        <v>354</v>
      </c>
      <c r="AN9" s="9" t="s">
        <v>369</v>
      </c>
      <c r="AO9" s="9" t="s">
        <v>370</v>
      </c>
      <c r="AP9" s="10" t="b">
        <f aca="false">FALSE()</f>
        <v>0</v>
      </c>
    </row>
    <row r="10" customFormat="false" ht="21.75" hidden="false" customHeight="true" outlineLevel="0" collapsed="false">
      <c r="A10" s="7" t="s">
        <v>463</v>
      </c>
      <c r="B10" s="7" t="s">
        <v>464</v>
      </c>
      <c r="C10" s="7" t="s">
        <v>465</v>
      </c>
      <c r="D10" s="7" t="s">
        <v>348</v>
      </c>
      <c r="E10" s="7" t="s">
        <v>466</v>
      </c>
      <c r="F10" s="7" t="s">
        <v>467</v>
      </c>
      <c r="G10" s="7" t="s">
        <v>468</v>
      </c>
      <c r="H10" s="7" t="s">
        <v>352</v>
      </c>
      <c r="I10" s="7" t="s">
        <v>353</v>
      </c>
      <c r="J10" s="7" t="s">
        <v>354</v>
      </c>
      <c r="K10" s="7" t="s">
        <v>355</v>
      </c>
      <c r="L10" s="7" t="s">
        <v>356</v>
      </c>
      <c r="M10" s="7" t="s">
        <v>469</v>
      </c>
      <c r="N10" s="7" t="s">
        <v>470</v>
      </c>
      <c r="O10" s="8" t="b">
        <f aca="false">FALSE()</f>
        <v>0</v>
      </c>
      <c r="P10" s="7" t="s">
        <v>359</v>
      </c>
      <c r="Q10" s="7"/>
      <c r="R10" s="7"/>
      <c r="S10" s="7"/>
      <c r="T10" s="7"/>
      <c r="U10" s="8" t="b">
        <f aca="false">FALSE()</f>
        <v>0</v>
      </c>
      <c r="V10" s="7" t="s">
        <v>471</v>
      </c>
      <c r="W10" s="7" t="s">
        <v>362</v>
      </c>
      <c r="X10" s="7"/>
      <c r="Y10" s="7" t="s">
        <v>362</v>
      </c>
      <c r="Z10" s="8" t="b">
        <f aca="false">TRUE()</f>
        <v>1</v>
      </c>
      <c r="AA10" s="8" t="b">
        <f aca="false">FALSE()</f>
        <v>0</v>
      </c>
      <c r="AB10" s="7" t="s">
        <v>472</v>
      </c>
      <c r="AC10" s="7" t="s">
        <v>364</v>
      </c>
      <c r="AD10" s="7" t="s">
        <v>473</v>
      </c>
      <c r="AE10" s="7" t="s">
        <v>474</v>
      </c>
      <c r="AF10" s="7" t="n">
        <v>0</v>
      </c>
      <c r="AG10" s="7" t="n">
        <v>74</v>
      </c>
      <c r="AH10" s="7" t="s">
        <v>395</v>
      </c>
      <c r="AI10" s="7" t="s">
        <v>283</v>
      </c>
      <c r="AJ10" s="7" t="n">
        <v>0.45</v>
      </c>
      <c r="AK10" s="7" t="n">
        <v>0.2</v>
      </c>
      <c r="AL10" s="7" t="n">
        <v>0.35</v>
      </c>
      <c r="AM10" s="7" t="s">
        <v>354</v>
      </c>
      <c r="AN10" s="7" t="s">
        <v>369</v>
      </c>
      <c r="AO10" s="7" t="s">
        <v>370</v>
      </c>
      <c r="AP10" s="8" t="b">
        <f aca="false">FALSE()</f>
        <v>0</v>
      </c>
    </row>
    <row r="11" customFormat="false" ht="21.75" hidden="false" customHeight="true" outlineLevel="0" collapsed="false">
      <c r="A11" s="9" t="s">
        <v>475</v>
      </c>
      <c r="B11" s="9" t="s">
        <v>476</v>
      </c>
      <c r="C11" s="9" t="s">
        <v>477</v>
      </c>
      <c r="D11" s="9" t="s">
        <v>348</v>
      </c>
      <c r="E11" s="9" t="s">
        <v>478</v>
      </c>
      <c r="F11" s="9" t="s">
        <v>479</v>
      </c>
      <c r="G11" s="9" t="s">
        <v>480</v>
      </c>
      <c r="H11" s="9" t="s">
        <v>352</v>
      </c>
      <c r="I11" s="9" t="s">
        <v>353</v>
      </c>
      <c r="J11" s="9" t="s">
        <v>354</v>
      </c>
      <c r="K11" s="9" t="s">
        <v>355</v>
      </c>
      <c r="L11" s="9" t="s">
        <v>356</v>
      </c>
      <c r="M11" s="9" t="s">
        <v>481</v>
      </c>
      <c r="N11" s="9" t="s">
        <v>482</v>
      </c>
      <c r="O11" s="10" t="b">
        <f aca="false">FALSE()</f>
        <v>0</v>
      </c>
      <c r="P11" s="9" t="s">
        <v>359</v>
      </c>
      <c r="Q11" s="9"/>
      <c r="R11" s="9"/>
      <c r="S11" s="9"/>
      <c r="T11" s="9"/>
      <c r="U11" s="10" t="b">
        <f aca="false">FALSE()</f>
        <v>0</v>
      </c>
      <c r="V11" s="9" t="s">
        <v>406</v>
      </c>
      <c r="W11" s="9" t="s">
        <v>362</v>
      </c>
      <c r="X11" s="9"/>
      <c r="Y11" s="9" t="s">
        <v>362</v>
      </c>
      <c r="Z11" s="10" t="b">
        <f aca="false">TRUE()</f>
        <v>1</v>
      </c>
      <c r="AA11" s="10" t="b">
        <f aca="false">FALSE()</f>
        <v>0</v>
      </c>
      <c r="AB11" s="9" t="s">
        <v>392</v>
      </c>
      <c r="AC11" s="9" t="s">
        <v>433</v>
      </c>
      <c r="AD11" s="9" t="s">
        <v>420</v>
      </c>
      <c r="AE11" s="9" t="s">
        <v>483</v>
      </c>
      <c r="AF11" s="9" t="n">
        <v>0</v>
      </c>
      <c r="AG11" s="9" t="n">
        <v>74</v>
      </c>
      <c r="AH11" s="9" t="s">
        <v>395</v>
      </c>
      <c r="AI11" s="9" t="s">
        <v>263</v>
      </c>
      <c r="AJ11" s="9" t="n">
        <v>0.35</v>
      </c>
      <c r="AK11" s="9" t="n">
        <v>0.25</v>
      </c>
      <c r="AL11" s="9" t="n">
        <v>0.4</v>
      </c>
      <c r="AM11" s="9" t="s">
        <v>354</v>
      </c>
      <c r="AN11" s="9" t="s">
        <v>369</v>
      </c>
      <c r="AO11" s="9" t="s">
        <v>370</v>
      </c>
      <c r="AP11" s="10" t="b">
        <f aca="false">FALSE()</f>
        <v>0</v>
      </c>
    </row>
    <row r="12" customFormat="false" ht="21.75" hidden="false" customHeight="true" outlineLevel="0" collapsed="false">
      <c r="A12" s="7" t="s">
        <v>484</v>
      </c>
      <c r="B12" s="7" t="s">
        <v>485</v>
      </c>
      <c r="C12" s="7" t="s">
        <v>486</v>
      </c>
      <c r="D12" s="7" t="s">
        <v>487</v>
      </c>
      <c r="E12" s="7" t="s">
        <v>488</v>
      </c>
      <c r="F12" s="7" t="s">
        <v>489</v>
      </c>
      <c r="G12" s="7" t="s">
        <v>490</v>
      </c>
      <c r="H12" s="7" t="s">
        <v>491</v>
      </c>
      <c r="I12" s="7" t="s">
        <v>492</v>
      </c>
      <c r="J12" s="7" t="s">
        <v>388</v>
      </c>
      <c r="K12" s="7" t="s">
        <v>355</v>
      </c>
      <c r="L12" s="7" t="s">
        <v>493</v>
      </c>
      <c r="M12" s="7"/>
      <c r="N12" s="7"/>
      <c r="O12" s="8" t="b">
        <f aca="false">TRUE()</f>
        <v>1</v>
      </c>
      <c r="P12" s="7" t="s">
        <v>494</v>
      </c>
      <c r="Q12" s="7" t="n">
        <v>0</v>
      </c>
      <c r="R12" s="7" t="n">
        <v>0</v>
      </c>
      <c r="S12" s="7" t="n">
        <v>0</v>
      </c>
      <c r="T12" s="7" t="s">
        <v>495</v>
      </c>
      <c r="U12" s="8" t="b">
        <f aca="false">FALSE()</f>
        <v>0</v>
      </c>
      <c r="V12" s="7" t="s">
        <v>459</v>
      </c>
      <c r="W12" s="7" t="s">
        <v>362</v>
      </c>
      <c r="X12" s="7"/>
      <c r="Y12" s="7" t="s">
        <v>446</v>
      </c>
      <c r="Z12" s="8" t="b">
        <f aca="false">TRUE()</f>
        <v>1</v>
      </c>
      <c r="AA12" s="8" t="b">
        <f aca="false">FALSE()</f>
        <v>0</v>
      </c>
      <c r="AB12" s="7" t="s">
        <v>496</v>
      </c>
      <c r="AC12" s="7" t="s">
        <v>364</v>
      </c>
      <c r="AD12" s="7" t="s">
        <v>497</v>
      </c>
      <c r="AE12" s="7" t="s">
        <v>498</v>
      </c>
      <c r="AF12" s="7" t="n">
        <v>50</v>
      </c>
      <c r="AG12" s="7" t="n">
        <v>100</v>
      </c>
      <c r="AH12" s="7" t="s">
        <v>499</v>
      </c>
      <c r="AI12" s="7" t="s">
        <v>500</v>
      </c>
      <c r="AJ12" s="7" t="n">
        <v>0.35</v>
      </c>
      <c r="AK12" s="7" t="n">
        <v>0.2</v>
      </c>
      <c r="AL12" s="7" t="n">
        <v>0.45</v>
      </c>
      <c r="AM12" s="7" t="s">
        <v>397</v>
      </c>
      <c r="AN12" s="7" t="s">
        <v>501</v>
      </c>
      <c r="AO12" s="7" t="s">
        <v>502</v>
      </c>
      <c r="AP12" s="8" t="b">
        <f aca="false">TRUE()</f>
        <v>1</v>
      </c>
    </row>
    <row r="13" customFormat="false" ht="21.75" hidden="false" customHeight="true" outlineLevel="0" collapsed="false">
      <c r="A13" s="9" t="s">
        <v>503</v>
      </c>
      <c r="B13" s="9" t="s">
        <v>504</v>
      </c>
      <c r="C13" s="9" t="s">
        <v>505</v>
      </c>
      <c r="D13" s="9" t="s">
        <v>506</v>
      </c>
      <c r="E13" s="9" t="s">
        <v>507</v>
      </c>
      <c r="F13" s="9" t="s">
        <v>508</v>
      </c>
      <c r="G13" s="9" t="s">
        <v>509</v>
      </c>
      <c r="H13" s="9" t="s">
        <v>352</v>
      </c>
      <c r="I13" s="9" t="s">
        <v>353</v>
      </c>
      <c r="J13" s="9" t="s">
        <v>510</v>
      </c>
      <c r="K13" s="9" t="s">
        <v>511</v>
      </c>
      <c r="L13" s="9" t="s">
        <v>416</v>
      </c>
      <c r="M13" s="9"/>
      <c r="N13" s="9" t="s">
        <v>512</v>
      </c>
      <c r="O13" s="10" t="b">
        <f aca="false">TRUE()</f>
        <v>1</v>
      </c>
      <c r="P13" s="9" t="s">
        <v>513</v>
      </c>
      <c r="Q13" s="9" t="n">
        <v>0</v>
      </c>
      <c r="R13" s="9" t="n">
        <v>45000</v>
      </c>
      <c r="S13" s="9" t="n">
        <v>0</v>
      </c>
      <c r="T13" s="9" t="s">
        <v>514</v>
      </c>
      <c r="U13" s="10" t="b">
        <f aca="false">FALSE()</f>
        <v>0</v>
      </c>
      <c r="V13" s="9" t="s">
        <v>445</v>
      </c>
      <c r="W13" s="9" t="s">
        <v>362</v>
      </c>
      <c r="X13" s="9"/>
      <c r="Y13" s="9" t="s">
        <v>362</v>
      </c>
      <c r="Z13" s="10" t="b">
        <f aca="false">TRUE()</f>
        <v>1</v>
      </c>
      <c r="AA13" s="10" t="b">
        <f aca="false">FALSE()</f>
        <v>0</v>
      </c>
      <c r="AB13" s="9" t="s">
        <v>496</v>
      </c>
      <c r="AC13" s="9" t="s">
        <v>419</v>
      </c>
      <c r="AD13" s="9" t="s">
        <v>121</v>
      </c>
      <c r="AE13" s="9" t="s">
        <v>515</v>
      </c>
      <c r="AF13" s="9" t="n">
        <v>0</v>
      </c>
      <c r="AG13" s="9" t="n">
        <v>100</v>
      </c>
      <c r="AH13" s="9" t="s">
        <v>367</v>
      </c>
      <c r="AI13" s="9" t="s">
        <v>263</v>
      </c>
      <c r="AJ13" s="9" t="n">
        <v>0.2</v>
      </c>
      <c r="AK13" s="9" t="n">
        <v>0.3</v>
      </c>
      <c r="AL13" s="9" t="n">
        <v>0.5</v>
      </c>
      <c r="AM13" s="9" t="s">
        <v>510</v>
      </c>
      <c r="AN13" s="9" t="s">
        <v>423</v>
      </c>
      <c r="AO13" s="9" t="s">
        <v>516</v>
      </c>
      <c r="AP13" s="10" t="b">
        <f aca="false">FALSE()</f>
        <v>0</v>
      </c>
    </row>
    <row r="14" customFormat="false" ht="21.75" hidden="false" customHeight="true" outlineLevel="0" collapsed="false">
      <c r="A14" s="7" t="s">
        <v>517</v>
      </c>
      <c r="B14" s="7" t="s">
        <v>518</v>
      </c>
      <c r="C14" s="7" t="s">
        <v>519</v>
      </c>
      <c r="D14" s="7" t="s">
        <v>520</v>
      </c>
      <c r="E14" s="7" t="s">
        <v>521</v>
      </c>
      <c r="F14" s="7" t="s">
        <v>522</v>
      </c>
      <c r="G14" s="7" t="s">
        <v>523</v>
      </c>
      <c r="H14" s="7" t="s">
        <v>524</v>
      </c>
      <c r="I14" s="7" t="s">
        <v>353</v>
      </c>
      <c r="J14" s="7" t="s">
        <v>388</v>
      </c>
      <c r="K14" s="7" t="s">
        <v>525</v>
      </c>
      <c r="L14" s="7" t="s">
        <v>416</v>
      </c>
      <c r="M14" s="7" t="s">
        <v>526</v>
      </c>
      <c r="N14" s="7" t="s">
        <v>527</v>
      </c>
      <c r="O14" s="8" t="b">
        <f aca="false">FALSE()</f>
        <v>0</v>
      </c>
      <c r="P14" s="7" t="s">
        <v>359</v>
      </c>
      <c r="Q14" s="7" t="n">
        <v>0</v>
      </c>
      <c r="R14" s="7" t="n">
        <v>50</v>
      </c>
      <c r="S14" s="7" t="n">
        <v>0</v>
      </c>
      <c r="T14" s="7" t="s">
        <v>528</v>
      </c>
      <c r="U14" s="8" t="b">
        <f aca="false">FALSE()</f>
        <v>0</v>
      </c>
      <c r="V14" s="7"/>
      <c r="W14" s="7" t="s">
        <v>362</v>
      </c>
      <c r="X14" s="7"/>
      <c r="Y14" s="7" t="s">
        <v>362</v>
      </c>
      <c r="Z14" s="8" t="b">
        <f aca="false">FALSE()</f>
        <v>0</v>
      </c>
      <c r="AA14" s="8" t="b">
        <f aca="false">FALSE()</f>
        <v>0</v>
      </c>
      <c r="AB14" s="7" t="s">
        <v>472</v>
      </c>
      <c r="AC14" s="7" t="s">
        <v>364</v>
      </c>
      <c r="AD14" s="7" t="s">
        <v>116</v>
      </c>
      <c r="AE14" s="7" t="s">
        <v>189</v>
      </c>
      <c r="AF14" s="7" t="n">
        <v>0</v>
      </c>
      <c r="AG14" s="7" t="n">
        <v>100</v>
      </c>
      <c r="AH14" s="7" t="s">
        <v>367</v>
      </c>
      <c r="AI14" s="7" t="s">
        <v>275</v>
      </c>
      <c r="AJ14" s="7" t="n">
        <v>0.5</v>
      </c>
      <c r="AK14" s="7" t="n">
        <v>0.1</v>
      </c>
      <c r="AL14" s="7" t="n">
        <v>0.4</v>
      </c>
      <c r="AM14" s="7" t="s">
        <v>397</v>
      </c>
      <c r="AN14" s="7" t="s">
        <v>529</v>
      </c>
      <c r="AO14" s="7" t="s">
        <v>370</v>
      </c>
      <c r="AP14" s="8" t="b">
        <f aca="false">FALSE()</f>
        <v>0</v>
      </c>
    </row>
    <row r="15" customFormat="false" ht="21.75" hidden="false" customHeight="true" outlineLevel="0" collapsed="false">
      <c r="A15" s="9" t="s">
        <v>530</v>
      </c>
      <c r="B15" s="9" t="s">
        <v>531</v>
      </c>
      <c r="C15" s="9" t="s">
        <v>532</v>
      </c>
      <c r="D15" s="9" t="s">
        <v>533</v>
      </c>
      <c r="E15" s="9" t="s">
        <v>534</v>
      </c>
      <c r="F15" s="9" t="s">
        <v>535</v>
      </c>
      <c r="G15" s="9" t="s">
        <v>536</v>
      </c>
      <c r="H15" s="9" t="s">
        <v>537</v>
      </c>
      <c r="I15" s="9" t="s">
        <v>538</v>
      </c>
      <c r="J15" s="9" t="s">
        <v>354</v>
      </c>
      <c r="K15" s="9" t="s">
        <v>539</v>
      </c>
      <c r="L15" s="9" t="s">
        <v>356</v>
      </c>
      <c r="M15" s="9" t="s">
        <v>540</v>
      </c>
      <c r="N15" s="9"/>
      <c r="O15" s="10" t="b">
        <f aca="false">FALSE()</f>
        <v>0</v>
      </c>
      <c r="P15" s="9" t="s">
        <v>541</v>
      </c>
      <c r="Q15" s="9" t="n">
        <v>0</v>
      </c>
      <c r="R15" s="9" t="n">
        <v>0</v>
      </c>
      <c r="S15" s="9" t="n">
        <v>25136000</v>
      </c>
      <c r="T15" s="9" t="s">
        <v>542</v>
      </c>
      <c r="U15" s="10" t="b">
        <f aca="false">FALSE()</f>
        <v>0</v>
      </c>
      <c r="V15" s="9" t="s">
        <v>378</v>
      </c>
      <c r="W15" s="9" t="s">
        <v>362</v>
      </c>
      <c r="X15" s="9" t="s">
        <v>543</v>
      </c>
      <c r="Y15" s="9" t="s">
        <v>362</v>
      </c>
      <c r="Z15" s="10" t="b">
        <f aca="false">TRUE()</f>
        <v>1</v>
      </c>
      <c r="AA15" s="10" t="b">
        <f aca="false">TRUE()</f>
        <v>1</v>
      </c>
      <c r="AB15" s="9" t="s">
        <v>496</v>
      </c>
      <c r="AC15" s="9" t="s">
        <v>364</v>
      </c>
      <c r="AD15" s="9" t="s">
        <v>544</v>
      </c>
      <c r="AE15" s="9" t="s">
        <v>545</v>
      </c>
      <c r="AF15" s="9" t="n">
        <v>0</v>
      </c>
      <c r="AG15" s="9" t="n">
        <v>49</v>
      </c>
      <c r="AH15" s="9" t="s">
        <v>546</v>
      </c>
      <c r="AI15" s="9" t="s">
        <v>547</v>
      </c>
      <c r="AJ15" s="9" t="n">
        <v>0.1</v>
      </c>
      <c r="AK15" s="9" t="n">
        <v>0.7</v>
      </c>
      <c r="AL15" s="9" t="n">
        <v>0.2</v>
      </c>
      <c r="AM15" s="9" t="s">
        <v>354</v>
      </c>
      <c r="AN15" s="9" t="s">
        <v>548</v>
      </c>
      <c r="AO15" s="9" t="s">
        <v>549</v>
      </c>
      <c r="AP15" s="10" t="b">
        <f aca="false">FALSE()</f>
        <v>0</v>
      </c>
    </row>
    <row r="16" customFormat="false" ht="21.75" hidden="false" customHeight="true" outlineLevel="0" collapsed="false">
      <c r="A16" s="7" t="s">
        <v>550</v>
      </c>
      <c r="B16" s="7" t="s">
        <v>551</v>
      </c>
      <c r="C16" s="7" t="s">
        <v>552</v>
      </c>
      <c r="D16" s="7" t="s">
        <v>348</v>
      </c>
      <c r="E16" s="7" t="s">
        <v>553</v>
      </c>
      <c r="F16" s="7" t="s">
        <v>554</v>
      </c>
      <c r="G16" s="7" t="s">
        <v>555</v>
      </c>
      <c r="H16" s="7" t="s">
        <v>537</v>
      </c>
      <c r="I16" s="7" t="s">
        <v>538</v>
      </c>
      <c r="J16" s="7" t="s">
        <v>388</v>
      </c>
      <c r="K16" s="7" t="s">
        <v>355</v>
      </c>
      <c r="L16" s="7" t="s">
        <v>493</v>
      </c>
      <c r="M16" s="7"/>
      <c r="N16" s="7"/>
      <c r="O16" s="8" t="b">
        <f aca="false">TRUE()</f>
        <v>1</v>
      </c>
      <c r="P16" s="7" t="s">
        <v>494</v>
      </c>
      <c r="Q16" s="7" t="n">
        <v>0</v>
      </c>
      <c r="R16" s="7" t="n">
        <v>0</v>
      </c>
      <c r="S16" s="7" t="n">
        <v>0</v>
      </c>
      <c r="T16" s="7" t="s">
        <v>556</v>
      </c>
      <c r="U16" s="8" t="b">
        <f aca="false">FALSE()</f>
        <v>0</v>
      </c>
      <c r="V16" s="7" t="s">
        <v>406</v>
      </c>
      <c r="W16" s="7" t="s">
        <v>362</v>
      </c>
      <c r="X16" s="7" t="s">
        <v>557</v>
      </c>
      <c r="Y16" s="7" t="s">
        <v>362</v>
      </c>
      <c r="Z16" s="8" t="b">
        <f aca="false">TRUE()</f>
        <v>1</v>
      </c>
      <c r="AA16" s="8" t="b">
        <f aca="false">FALSE()</f>
        <v>0</v>
      </c>
      <c r="AB16" s="7" t="s">
        <v>472</v>
      </c>
      <c r="AC16" s="7" t="s">
        <v>364</v>
      </c>
      <c r="AD16" s="7" t="s">
        <v>558</v>
      </c>
      <c r="AE16" s="7" t="s">
        <v>559</v>
      </c>
      <c r="AF16" s="7" t="n">
        <v>0</v>
      </c>
      <c r="AG16" s="7" t="n">
        <v>49</v>
      </c>
      <c r="AH16" s="7" t="s">
        <v>546</v>
      </c>
      <c r="AI16" s="7" t="s">
        <v>560</v>
      </c>
      <c r="AJ16" s="7" t="n">
        <v>0.35</v>
      </c>
      <c r="AK16" s="7" t="n">
        <v>0.5</v>
      </c>
      <c r="AL16" s="7" t="n">
        <v>0.15</v>
      </c>
      <c r="AM16" s="7" t="s">
        <v>397</v>
      </c>
      <c r="AN16" s="7" t="s">
        <v>369</v>
      </c>
      <c r="AO16" s="7" t="s">
        <v>370</v>
      </c>
      <c r="AP16" s="8" t="b">
        <f aca="false">TRUE()</f>
        <v>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4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8"/>
    <col collapsed="false" customWidth="true" hidden="false" outlineLevel="0" max="2" min="2" style="0" width="40"/>
    <col collapsed="false" customWidth="true" hidden="false" outlineLevel="0" max="3" min="3" style="0" width="38"/>
    <col collapsed="false" customWidth="true" hidden="false" outlineLevel="0" max="4" min="4" style="0" width="30"/>
  </cols>
  <sheetData>
    <row r="1" customFormat="false" ht="30" hidden="false" customHeight="true" outlineLevel="0" collapsed="false">
      <c r="A1" s="6" t="s">
        <v>561</v>
      </c>
      <c r="B1" s="6" t="s">
        <v>562</v>
      </c>
      <c r="C1" s="6" t="s">
        <v>563</v>
      </c>
      <c r="D1" s="6" t="s">
        <v>564</v>
      </c>
    </row>
    <row r="2" customFormat="false" ht="21.75" hidden="false" customHeight="true" outlineLevel="0" collapsed="false">
      <c r="A2" s="7" t="s">
        <v>345</v>
      </c>
      <c r="B2" s="7" t="s">
        <v>346</v>
      </c>
      <c r="C2" s="7" t="s">
        <v>286</v>
      </c>
      <c r="D2" s="7" t="s">
        <v>287</v>
      </c>
    </row>
    <row r="3" customFormat="false" ht="21.75" hidden="false" customHeight="true" outlineLevel="0" collapsed="false">
      <c r="A3" s="9" t="s">
        <v>345</v>
      </c>
      <c r="B3" s="9" t="s">
        <v>346</v>
      </c>
      <c r="C3" s="9" t="s">
        <v>278</v>
      </c>
      <c r="D3" s="9" t="s">
        <v>279</v>
      </c>
    </row>
    <row r="4" customFormat="false" ht="21.75" hidden="false" customHeight="true" outlineLevel="0" collapsed="false">
      <c r="A4" s="7" t="s">
        <v>345</v>
      </c>
      <c r="B4" s="7" t="s">
        <v>346</v>
      </c>
      <c r="C4" s="7" t="s">
        <v>253</v>
      </c>
      <c r="D4" s="7" t="s">
        <v>254</v>
      </c>
    </row>
    <row r="5" customFormat="false" ht="21.75" hidden="false" customHeight="true" outlineLevel="0" collapsed="false">
      <c r="A5" s="9" t="s">
        <v>371</v>
      </c>
      <c r="B5" s="9" t="s">
        <v>372</v>
      </c>
      <c r="C5" s="9" t="s">
        <v>204</v>
      </c>
      <c r="D5" s="9" t="s">
        <v>205</v>
      </c>
    </row>
    <row r="6" customFormat="false" ht="21.75" hidden="false" customHeight="true" outlineLevel="0" collapsed="false">
      <c r="A6" s="7" t="s">
        <v>371</v>
      </c>
      <c r="B6" s="7" t="s">
        <v>372</v>
      </c>
      <c r="C6" s="7" t="s">
        <v>286</v>
      </c>
      <c r="D6" s="7" t="s">
        <v>287</v>
      </c>
    </row>
    <row r="7" customFormat="false" ht="21.75" hidden="false" customHeight="true" outlineLevel="0" collapsed="false">
      <c r="A7" s="9" t="s">
        <v>371</v>
      </c>
      <c r="B7" s="9" t="s">
        <v>372</v>
      </c>
      <c r="C7" s="9" t="s">
        <v>188</v>
      </c>
      <c r="D7" s="9" t="s">
        <v>189</v>
      </c>
    </row>
    <row r="8" customFormat="false" ht="21.75" hidden="false" customHeight="true" outlineLevel="0" collapsed="false">
      <c r="A8" s="7" t="s">
        <v>382</v>
      </c>
      <c r="B8" s="7" t="s">
        <v>383</v>
      </c>
      <c r="C8" s="7" t="s">
        <v>200</v>
      </c>
      <c r="D8" s="7" t="s">
        <v>201</v>
      </c>
    </row>
    <row r="9" customFormat="false" ht="21.75" hidden="false" customHeight="true" outlineLevel="0" collapsed="false">
      <c r="A9" s="9" t="s">
        <v>382</v>
      </c>
      <c r="B9" s="9" t="s">
        <v>383</v>
      </c>
      <c r="C9" s="9" t="s">
        <v>274</v>
      </c>
      <c r="D9" s="9" t="s">
        <v>275</v>
      </c>
    </row>
    <row r="10" customFormat="false" ht="21.75" hidden="false" customHeight="true" outlineLevel="0" collapsed="false">
      <c r="A10" s="7" t="s">
        <v>382</v>
      </c>
      <c r="B10" s="7" t="s">
        <v>383</v>
      </c>
      <c r="C10" s="7" t="s">
        <v>282</v>
      </c>
      <c r="D10" s="7" t="s">
        <v>283</v>
      </c>
    </row>
    <row r="11" customFormat="false" ht="21.75" hidden="false" customHeight="true" outlineLevel="0" collapsed="false">
      <c r="A11" s="9" t="s">
        <v>398</v>
      </c>
      <c r="B11" s="9" t="s">
        <v>399</v>
      </c>
      <c r="C11" s="9" t="s">
        <v>179</v>
      </c>
      <c r="D11" s="9" t="s">
        <v>180</v>
      </c>
    </row>
    <row r="12" customFormat="false" ht="21.75" hidden="false" customHeight="true" outlineLevel="0" collapsed="false">
      <c r="A12" s="7" t="s">
        <v>398</v>
      </c>
      <c r="B12" s="7" t="s">
        <v>399</v>
      </c>
      <c r="C12" s="7" t="s">
        <v>212</v>
      </c>
      <c r="D12" s="7" t="s">
        <v>213</v>
      </c>
    </row>
    <row r="13" customFormat="false" ht="21.75" hidden="false" customHeight="true" outlineLevel="0" collapsed="false">
      <c r="A13" s="9" t="s">
        <v>398</v>
      </c>
      <c r="B13" s="9" t="s">
        <v>399</v>
      </c>
      <c r="C13" s="9" t="s">
        <v>216</v>
      </c>
      <c r="D13" s="9" t="s">
        <v>217</v>
      </c>
    </row>
    <row r="14" customFormat="false" ht="21.75" hidden="false" customHeight="true" outlineLevel="0" collapsed="false">
      <c r="A14" s="7" t="s">
        <v>398</v>
      </c>
      <c r="B14" s="7" t="s">
        <v>399</v>
      </c>
      <c r="C14" s="7" t="s">
        <v>258</v>
      </c>
      <c r="D14" s="7" t="s">
        <v>259</v>
      </c>
    </row>
    <row r="15" customFormat="false" ht="21.75" hidden="false" customHeight="true" outlineLevel="0" collapsed="false">
      <c r="A15" s="9" t="s">
        <v>410</v>
      </c>
      <c r="B15" s="9" t="s">
        <v>411</v>
      </c>
      <c r="C15" s="9" t="s">
        <v>262</v>
      </c>
      <c r="D15" s="9" t="s">
        <v>263</v>
      </c>
    </row>
    <row r="16" customFormat="false" ht="21.75" hidden="false" customHeight="true" outlineLevel="0" collapsed="false">
      <c r="A16" s="7" t="s">
        <v>410</v>
      </c>
      <c r="B16" s="7" t="s">
        <v>411</v>
      </c>
      <c r="C16" s="7" t="s">
        <v>286</v>
      </c>
      <c r="D16" s="7" t="s">
        <v>287</v>
      </c>
    </row>
    <row r="17" customFormat="false" ht="21.75" hidden="false" customHeight="true" outlineLevel="0" collapsed="false">
      <c r="A17" s="9" t="s">
        <v>410</v>
      </c>
      <c r="B17" s="9" t="s">
        <v>411</v>
      </c>
      <c r="C17" s="9" t="s">
        <v>237</v>
      </c>
      <c r="D17" s="9" t="s">
        <v>238</v>
      </c>
    </row>
    <row r="18" customFormat="false" ht="21.75" hidden="false" customHeight="true" outlineLevel="0" collapsed="false">
      <c r="A18" s="7" t="s">
        <v>424</v>
      </c>
      <c r="B18" s="7" t="s">
        <v>425</v>
      </c>
      <c r="C18" s="7" t="s">
        <v>262</v>
      </c>
      <c r="D18" s="7" t="s">
        <v>263</v>
      </c>
    </row>
    <row r="19" customFormat="false" ht="21.75" hidden="false" customHeight="true" outlineLevel="0" collapsed="false">
      <c r="A19" s="9" t="s">
        <v>424</v>
      </c>
      <c r="B19" s="9" t="s">
        <v>425</v>
      </c>
      <c r="C19" s="9" t="s">
        <v>179</v>
      </c>
      <c r="D19" s="9" t="s">
        <v>180</v>
      </c>
    </row>
    <row r="20" customFormat="false" ht="21.75" hidden="false" customHeight="true" outlineLevel="0" collapsed="false">
      <c r="A20" s="7" t="s">
        <v>424</v>
      </c>
      <c r="B20" s="7" t="s">
        <v>425</v>
      </c>
      <c r="C20" s="7" t="s">
        <v>282</v>
      </c>
      <c r="D20" s="7" t="s">
        <v>283</v>
      </c>
    </row>
    <row r="21" customFormat="false" ht="21.75" hidden="false" customHeight="true" outlineLevel="0" collapsed="false">
      <c r="A21" s="9" t="s">
        <v>484</v>
      </c>
      <c r="B21" s="9" t="s">
        <v>485</v>
      </c>
      <c r="C21" s="9" t="s">
        <v>220</v>
      </c>
      <c r="D21" s="9" t="s">
        <v>221</v>
      </c>
    </row>
    <row r="22" customFormat="false" ht="21.75" hidden="false" customHeight="true" outlineLevel="0" collapsed="false">
      <c r="A22" s="7" t="s">
        <v>484</v>
      </c>
      <c r="B22" s="7" t="s">
        <v>485</v>
      </c>
      <c r="C22" s="7" t="s">
        <v>225</v>
      </c>
      <c r="D22" s="7" t="s">
        <v>226</v>
      </c>
    </row>
    <row r="23" customFormat="false" ht="21.75" hidden="false" customHeight="true" outlineLevel="0" collapsed="false">
      <c r="A23" s="9" t="s">
        <v>484</v>
      </c>
      <c r="B23" s="9" t="s">
        <v>485</v>
      </c>
      <c r="C23" s="9" t="s">
        <v>249</v>
      </c>
      <c r="D23" s="9" t="s">
        <v>250</v>
      </c>
    </row>
    <row r="24" customFormat="false" ht="21.75" hidden="false" customHeight="true" outlineLevel="0" collapsed="false">
      <c r="A24" s="7" t="s">
        <v>484</v>
      </c>
      <c r="B24" s="7" t="s">
        <v>485</v>
      </c>
      <c r="C24" s="7" t="s">
        <v>179</v>
      </c>
      <c r="D24" s="7" t="s">
        <v>180</v>
      </c>
    </row>
    <row r="25" customFormat="false" ht="21.75" hidden="false" customHeight="true" outlineLevel="0" collapsed="false">
      <c r="A25" s="9" t="s">
        <v>484</v>
      </c>
      <c r="B25" s="9" t="s">
        <v>485</v>
      </c>
      <c r="C25" s="9" t="s">
        <v>266</v>
      </c>
      <c r="D25" s="9" t="s">
        <v>267</v>
      </c>
    </row>
    <row r="26" customFormat="false" ht="21.75" hidden="false" customHeight="true" outlineLevel="0" collapsed="false">
      <c r="A26" s="7" t="s">
        <v>484</v>
      </c>
      <c r="B26" s="7" t="s">
        <v>485</v>
      </c>
      <c r="C26" s="7" t="s">
        <v>270</v>
      </c>
      <c r="D26" s="7" t="s">
        <v>271</v>
      </c>
    </row>
    <row r="27" customFormat="false" ht="21.75" hidden="false" customHeight="true" outlineLevel="0" collapsed="false">
      <c r="A27" s="9" t="s">
        <v>503</v>
      </c>
      <c r="B27" s="9" t="s">
        <v>504</v>
      </c>
      <c r="C27" s="9" t="s">
        <v>262</v>
      </c>
      <c r="D27" s="9" t="s">
        <v>263</v>
      </c>
    </row>
    <row r="28" customFormat="false" ht="21.75" hidden="false" customHeight="true" outlineLevel="0" collapsed="false">
      <c r="A28" s="7" t="s">
        <v>503</v>
      </c>
      <c r="B28" s="7" t="s">
        <v>504</v>
      </c>
      <c r="C28" s="7" t="s">
        <v>237</v>
      </c>
      <c r="D28" s="7" t="s">
        <v>238</v>
      </c>
    </row>
    <row r="29" customFormat="false" ht="21.75" hidden="false" customHeight="true" outlineLevel="0" collapsed="false">
      <c r="A29" s="9" t="s">
        <v>517</v>
      </c>
      <c r="B29" s="9" t="s">
        <v>518</v>
      </c>
      <c r="C29" s="9" t="s">
        <v>274</v>
      </c>
      <c r="D29" s="9" t="s">
        <v>275</v>
      </c>
    </row>
    <row r="30" customFormat="false" ht="21.75" hidden="false" customHeight="true" outlineLevel="0" collapsed="false">
      <c r="A30" s="7" t="s">
        <v>517</v>
      </c>
      <c r="B30" s="7" t="s">
        <v>518</v>
      </c>
      <c r="C30" s="7" t="s">
        <v>188</v>
      </c>
      <c r="D30" s="7" t="s">
        <v>189</v>
      </c>
    </row>
    <row r="31" customFormat="false" ht="21.75" hidden="false" customHeight="true" outlineLevel="0" collapsed="false">
      <c r="A31" s="9" t="s">
        <v>530</v>
      </c>
      <c r="B31" s="9" t="s">
        <v>531</v>
      </c>
      <c r="C31" s="9" t="s">
        <v>175</v>
      </c>
      <c r="D31" s="9" t="s">
        <v>176</v>
      </c>
    </row>
    <row r="32" customFormat="false" ht="21.75" hidden="false" customHeight="true" outlineLevel="0" collapsed="false">
      <c r="A32" s="7" t="s">
        <v>530</v>
      </c>
      <c r="B32" s="7" t="s">
        <v>531</v>
      </c>
      <c r="C32" s="7" t="s">
        <v>151</v>
      </c>
      <c r="D32" s="7" t="s">
        <v>152</v>
      </c>
    </row>
    <row r="33" customFormat="false" ht="21.75" hidden="false" customHeight="true" outlineLevel="0" collapsed="false">
      <c r="A33" s="9" t="s">
        <v>530</v>
      </c>
      <c r="B33" s="9" t="s">
        <v>531</v>
      </c>
      <c r="C33" s="9" t="s">
        <v>155</v>
      </c>
      <c r="D33" s="9" t="s">
        <v>156</v>
      </c>
    </row>
    <row r="34" customFormat="false" ht="21.75" hidden="false" customHeight="true" outlineLevel="0" collapsed="false">
      <c r="A34" s="7" t="s">
        <v>530</v>
      </c>
      <c r="B34" s="7" t="s">
        <v>531</v>
      </c>
      <c r="C34" s="7" t="s">
        <v>163</v>
      </c>
      <c r="D34" s="7" t="s">
        <v>164</v>
      </c>
    </row>
    <row r="35" customFormat="false" ht="21.75" hidden="false" customHeight="true" outlineLevel="0" collapsed="false">
      <c r="A35" s="9" t="s">
        <v>530</v>
      </c>
      <c r="B35" s="9" t="s">
        <v>531</v>
      </c>
      <c r="C35" s="9" t="s">
        <v>171</v>
      </c>
      <c r="D35" s="9" t="s">
        <v>172</v>
      </c>
    </row>
    <row r="36" customFormat="false" ht="21.75" hidden="false" customHeight="true" outlineLevel="0" collapsed="false">
      <c r="A36" s="7" t="s">
        <v>530</v>
      </c>
      <c r="B36" s="7" t="s">
        <v>531</v>
      </c>
      <c r="C36" s="7" t="s">
        <v>131</v>
      </c>
      <c r="D36" s="7" t="s">
        <v>132</v>
      </c>
    </row>
    <row r="37" customFormat="false" ht="21.75" hidden="false" customHeight="true" outlineLevel="0" collapsed="false">
      <c r="A37" s="9" t="s">
        <v>530</v>
      </c>
      <c r="B37" s="9" t="s">
        <v>531</v>
      </c>
      <c r="C37" s="9" t="s">
        <v>253</v>
      </c>
      <c r="D37" s="9" t="s">
        <v>254</v>
      </c>
    </row>
    <row r="38" customFormat="false" ht="21.75" hidden="false" customHeight="true" outlineLevel="0" collapsed="false">
      <c r="A38" s="7" t="s">
        <v>550</v>
      </c>
      <c r="B38" s="7" t="s">
        <v>551</v>
      </c>
      <c r="C38" s="7" t="s">
        <v>175</v>
      </c>
      <c r="D38" s="7" t="s">
        <v>176</v>
      </c>
    </row>
    <row r="39" customFormat="false" ht="21.75" hidden="false" customHeight="true" outlineLevel="0" collapsed="false">
      <c r="A39" s="9" t="s">
        <v>550</v>
      </c>
      <c r="B39" s="9" t="s">
        <v>551</v>
      </c>
      <c r="C39" s="9" t="s">
        <v>143</v>
      </c>
      <c r="D39" s="9" t="s">
        <v>144</v>
      </c>
    </row>
    <row r="40" customFormat="false" ht="21.75" hidden="false" customHeight="true" outlineLevel="0" collapsed="false">
      <c r="A40" s="7" t="s">
        <v>550</v>
      </c>
      <c r="B40" s="7" t="s">
        <v>551</v>
      </c>
      <c r="C40" s="7" t="s">
        <v>196</v>
      </c>
      <c r="D40" s="7" t="s">
        <v>197</v>
      </c>
    </row>
    <row r="41" customFormat="false" ht="21.75" hidden="false" customHeight="true" outlineLevel="0" collapsed="false">
      <c r="A41" s="9" t="s">
        <v>550</v>
      </c>
      <c r="B41" s="9" t="s">
        <v>551</v>
      </c>
      <c r="C41" s="9" t="s">
        <v>171</v>
      </c>
      <c r="D41" s="9" t="s">
        <v>172</v>
      </c>
    </row>
    <row r="42" customFormat="false" ht="21.75" hidden="false" customHeight="true" outlineLevel="0" collapsed="false">
      <c r="A42" s="7" t="s">
        <v>550</v>
      </c>
      <c r="B42" s="7" t="s">
        <v>551</v>
      </c>
      <c r="C42" s="7" t="s">
        <v>216</v>
      </c>
      <c r="D42" s="7" t="s">
        <v>217</v>
      </c>
    </row>
    <row r="43" customFormat="false" ht="21.75" hidden="false" customHeight="true" outlineLevel="0" collapsed="false">
      <c r="A43" s="9" t="s">
        <v>550</v>
      </c>
      <c r="B43" s="9" t="s">
        <v>551</v>
      </c>
      <c r="C43" s="9" t="s">
        <v>290</v>
      </c>
      <c r="D43" s="9" t="s">
        <v>291</v>
      </c>
    </row>
    <row r="44" customFormat="false" ht="21.75" hidden="false" customHeight="true" outlineLevel="0" collapsed="false">
      <c r="A44" s="7" t="s">
        <v>550</v>
      </c>
      <c r="B44" s="7" t="s">
        <v>551</v>
      </c>
      <c r="C44" s="7" t="s">
        <v>295</v>
      </c>
      <c r="D44" s="7" t="s">
        <v>296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R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8"/>
    <col collapsed="false" customWidth="true" hidden="false" outlineLevel="0" max="2" min="2" style="0" width="30"/>
    <col collapsed="false" customWidth="true" hidden="false" outlineLevel="0" max="3" min="3" style="0" width="26"/>
    <col collapsed="false" customWidth="true" hidden="false" outlineLevel="0" max="4" min="4" style="0" width="55"/>
    <col collapsed="false" customWidth="true" hidden="false" outlineLevel="0" max="5" min="5" style="0" width="40"/>
    <col collapsed="false" customWidth="true" hidden="false" outlineLevel="0" max="6" min="6" style="0" width="32"/>
    <col collapsed="false" customWidth="true" hidden="false" outlineLevel="0" max="7" min="7" style="0" width="28"/>
    <col collapsed="false" customWidth="true" hidden="false" outlineLevel="0" max="8" min="8" style="0" width="16"/>
    <col collapsed="false" customWidth="true" hidden="false" outlineLevel="0" max="10" min="9" style="0" width="30"/>
    <col collapsed="false" customWidth="true" hidden="false" outlineLevel="0" max="11" min="11" style="0" width="38"/>
    <col collapsed="false" customWidth="true" hidden="false" outlineLevel="0" max="12" min="12" style="0" width="28"/>
    <col collapsed="false" customWidth="true" hidden="false" outlineLevel="0" max="13" min="13" style="0" width="24"/>
    <col collapsed="false" customWidth="true" hidden="false" outlineLevel="0" max="16" min="14" style="0" width="12"/>
    <col collapsed="false" customWidth="true" hidden="false" outlineLevel="0" max="17" min="17" style="0" width="14"/>
    <col collapsed="false" customWidth="true" hidden="false" outlineLevel="0" max="18" min="18" style="0" width="10"/>
  </cols>
  <sheetData>
    <row r="1" customFormat="false" ht="30" hidden="false" customHeight="true" outlineLevel="0" collapsed="false">
      <c r="A1" s="6" t="s">
        <v>53</v>
      </c>
      <c r="B1" s="6" t="s">
        <v>54</v>
      </c>
      <c r="C1" s="6" t="s">
        <v>55</v>
      </c>
      <c r="D1" s="6" t="s">
        <v>58</v>
      </c>
      <c r="E1" s="6" t="s">
        <v>309</v>
      </c>
      <c r="F1" s="6" t="s">
        <v>127</v>
      </c>
      <c r="G1" s="6" t="s">
        <v>565</v>
      </c>
      <c r="H1" s="6" t="s">
        <v>566</v>
      </c>
      <c r="I1" s="6" t="s">
        <v>567</v>
      </c>
      <c r="J1" s="6" t="s">
        <v>332</v>
      </c>
      <c r="K1" s="6" t="s">
        <v>337</v>
      </c>
      <c r="L1" s="6" t="s">
        <v>568</v>
      </c>
      <c r="M1" s="6" t="s">
        <v>569</v>
      </c>
      <c r="N1" s="6" t="s">
        <v>570</v>
      </c>
      <c r="O1" s="6" t="s">
        <v>314</v>
      </c>
      <c r="P1" s="6" t="s">
        <v>571</v>
      </c>
      <c r="Q1" s="6" t="s">
        <v>572</v>
      </c>
      <c r="R1" s="6" t="s">
        <v>344</v>
      </c>
    </row>
    <row r="2" customFormat="false" ht="21.75" hidden="false" customHeight="true" outlineLevel="0" collapsed="false">
      <c r="A2" s="7" t="s">
        <v>573</v>
      </c>
      <c r="B2" s="7" t="s">
        <v>574</v>
      </c>
      <c r="C2" s="7" t="s">
        <v>575</v>
      </c>
      <c r="D2" s="7" t="s">
        <v>576</v>
      </c>
      <c r="E2" s="7" t="s">
        <v>577</v>
      </c>
      <c r="F2" s="7" t="s">
        <v>578</v>
      </c>
      <c r="G2" s="7" t="s">
        <v>579</v>
      </c>
      <c r="H2" s="7" t="s">
        <v>580</v>
      </c>
      <c r="I2" s="7" t="s">
        <v>581</v>
      </c>
      <c r="J2" s="7" t="s">
        <v>582</v>
      </c>
      <c r="K2" s="7" t="s">
        <v>583</v>
      </c>
      <c r="L2" s="7" t="s">
        <v>395</v>
      </c>
      <c r="M2" s="7" t="s">
        <v>584</v>
      </c>
      <c r="N2" s="8" t="b">
        <f aca="false">TRUE()</f>
        <v>1</v>
      </c>
      <c r="O2" s="7" t="s">
        <v>585</v>
      </c>
      <c r="P2" s="8" t="b">
        <f aca="false">TRUE()</f>
        <v>1</v>
      </c>
      <c r="Q2" s="7" t="s">
        <v>586</v>
      </c>
      <c r="R2" s="8" t="b">
        <f aca="false">TRUE()</f>
        <v>1</v>
      </c>
    </row>
    <row r="3" customFormat="false" ht="21.75" hidden="false" customHeight="true" outlineLevel="0" collapsed="false">
      <c r="A3" s="9" t="s">
        <v>587</v>
      </c>
      <c r="B3" s="9" t="s">
        <v>588</v>
      </c>
      <c r="C3" s="9" t="s">
        <v>589</v>
      </c>
      <c r="D3" s="9" t="s">
        <v>590</v>
      </c>
      <c r="E3" s="9" t="s">
        <v>591</v>
      </c>
      <c r="F3" s="9" t="s">
        <v>592</v>
      </c>
      <c r="G3" s="9" t="s">
        <v>593</v>
      </c>
      <c r="H3" s="9" t="s">
        <v>580</v>
      </c>
      <c r="I3" s="9" t="s">
        <v>594</v>
      </c>
      <c r="J3" s="9" t="s">
        <v>595</v>
      </c>
      <c r="K3" s="9" t="s">
        <v>596</v>
      </c>
      <c r="L3" s="9" t="s">
        <v>395</v>
      </c>
      <c r="M3" s="9" t="s">
        <v>584</v>
      </c>
      <c r="N3" s="10" t="b">
        <f aca="false">TRUE()</f>
        <v>1</v>
      </c>
      <c r="O3" s="9" t="s">
        <v>585</v>
      </c>
      <c r="P3" s="10" t="b">
        <f aca="false">TRUE()</f>
        <v>1</v>
      </c>
      <c r="Q3" s="9" t="s">
        <v>597</v>
      </c>
      <c r="R3" s="10" t="b">
        <f aca="false">TRUE()</f>
        <v>1</v>
      </c>
    </row>
    <row r="4" customFormat="false" ht="21.75" hidden="false" customHeight="true" outlineLevel="0" collapsed="false">
      <c r="A4" s="7" t="s">
        <v>598</v>
      </c>
      <c r="B4" s="7" t="s">
        <v>599</v>
      </c>
      <c r="C4" s="7" t="s">
        <v>600</v>
      </c>
      <c r="D4" s="7" t="s">
        <v>601</v>
      </c>
      <c r="E4" s="7" t="s">
        <v>602</v>
      </c>
      <c r="F4" s="7" t="s">
        <v>603</v>
      </c>
      <c r="G4" s="7" t="s">
        <v>604</v>
      </c>
      <c r="H4" s="7" t="s">
        <v>580</v>
      </c>
      <c r="I4" s="7" t="s">
        <v>605</v>
      </c>
      <c r="J4" s="7" t="s">
        <v>420</v>
      </c>
      <c r="K4" s="7" t="s">
        <v>606</v>
      </c>
      <c r="L4" s="7" t="s">
        <v>395</v>
      </c>
      <c r="M4" s="7" t="s">
        <v>584</v>
      </c>
      <c r="N4" s="8" t="b">
        <f aca="false">TRUE()</f>
        <v>1</v>
      </c>
      <c r="O4" s="7" t="s">
        <v>585</v>
      </c>
      <c r="P4" s="8" t="b">
        <f aca="false">TRUE()</f>
        <v>1</v>
      </c>
      <c r="Q4" s="7" t="s">
        <v>607</v>
      </c>
      <c r="R4" s="8" t="b">
        <f aca="false">TRUE()</f>
        <v>1</v>
      </c>
    </row>
    <row r="5" customFormat="false" ht="21.75" hidden="false" customHeight="true" outlineLevel="0" collapsed="false">
      <c r="A5" s="9" t="s">
        <v>608</v>
      </c>
      <c r="B5" s="9" t="s">
        <v>609</v>
      </c>
      <c r="C5" s="9" t="s">
        <v>610</v>
      </c>
      <c r="D5" s="9" t="s">
        <v>611</v>
      </c>
      <c r="E5" s="9" t="s">
        <v>612</v>
      </c>
      <c r="F5" s="9" t="s">
        <v>613</v>
      </c>
      <c r="G5" s="9" t="s">
        <v>614</v>
      </c>
      <c r="H5" s="9" t="s">
        <v>580</v>
      </c>
      <c r="I5" s="9" t="s">
        <v>615</v>
      </c>
      <c r="J5" s="9" t="s">
        <v>616</v>
      </c>
      <c r="K5" s="9" t="s">
        <v>617</v>
      </c>
      <c r="L5" s="9" t="s">
        <v>499</v>
      </c>
      <c r="M5" s="9" t="s">
        <v>618</v>
      </c>
      <c r="N5" s="10" t="b">
        <f aca="false">TRUE()</f>
        <v>1</v>
      </c>
      <c r="O5" s="9" t="s">
        <v>585</v>
      </c>
      <c r="P5" s="10" t="b">
        <f aca="false">TRUE()</f>
        <v>1</v>
      </c>
      <c r="Q5" s="9" t="s">
        <v>619</v>
      </c>
      <c r="R5" s="10" t="b">
        <f aca="false">FALSE()</f>
        <v>0</v>
      </c>
    </row>
    <row r="6" customFormat="false" ht="21.75" hidden="false" customHeight="true" outlineLevel="0" collapsed="false">
      <c r="A6" s="7" t="s">
        <v>620</v>
      </c>
      <c r="B6" s="7" t="s">
        <v>621</v>
      </c>
      <c r="C6" s="7" t="s">
        <v>622</v>
      </c>
      <c r="D6" s="7" t="s">
        <v>623</v>
      </c>
      <c r="E6" s="7" t="s">
        <v>624</v>
      </c>
      <c r="F6" s="7" t="s">
        <v>625</v>
      </c>
      <c r="G6" s="7" t="s">
        <v>626</v>
      </c>
      <c r="H6" s="7" t="s">
        <v>580</v>
      </c>
      <c r="I6" s="7" t="s">
        <v>627</v>
      </c>
      <c r="J6" s="7" t="s">
        <v>628</v>
      </c>
      <c r="K6" s="7" t="s">
        <v>629</v>
      </c>
      <c r="L6" s="7" t="s">
        <v>395</v>
      </c>
      <c r="M6" s="7" t="s">
        <v>584</v>
      </c>
      <c r="N6" s="8" t="b">
        <f aca="false">TRUE()</f>
        <v>1</v>
      </c>
      <c r="O6" s="7" t="s">
        <v>585</v>
      </c>
      <c r="P6" s="8" t="b">
        <f aca="false">TRUE()</f>
        <v>1</v>
      </c>
      <c r="Q6" s="7" t="s">
        <v>630</v>
      </c>
      <c r="R6" s="8" t="b">
        <f aca="false">FALSE()</f>
        <v>0</v>
      </c>
    </row>
    <row r="7" customFormat="false" ht="21.75" hidden="false" customHeight="true" outlineLevel="0" collapsed="false">
      <c r="A7" s="9" t="s">
        <v>631</v>
      </c>
      <c r="B7" s="9" t="s">
        <v>632</v>
      </c>
      <c r="C7" s="9" t="s">
        <v>633</v>
      </c>
      <c r="D7" s="9" t="s">
        <v>634</v>
      </c>
      <c r="E7" s="9" t="s">
        <v>635</v>
      </c>
      <c r="F7" s="9" t="s">
        <v>636</v>
      </c>
      <c r="G7" s="9" t="s">
        <v>637</v>
      </c>
      <c r="H7" s="9" t="s">
        <v>580</v>
      </c>
      <c r="I7" s="9" t="s">
        <v>581</v>
      </c>
      <c r="J7" s="9" t="s">
        <v>558</v>
      </c>
      <c r="K7" s="9" t="s">
        <v>638</v>
      </c>
      <c r="L7" s="9" t="s">
        <v>546</v>
      </c>
      <c r="M7" s="9" t="s">
        <v>584</v>
      </c>
      <c r="N7" s="10" t="b">
        <f aca="false">TRUE()</f>
        <v>1</v>
      </c>
      <c r="O7" s="9" t="s">
        <v>585</v>
      </c>
      <c r="P7" s="10" t="b">
        <f aca="false">TRUE()</f>
        <v>1</v>
      </c>
      <c r="Q7" s="9" t="s">
        <v>639</v>
      </c>
      <c r="R7" s="10" t="b">
        <f aca="false">TRUE()</f>
        <v>1</v>
      </c>
    </row>
    <row r="8" customFormat="false" ht="21.75" hidden="false" customHeight="true" outlineLevel="0" collapsed="false">
      <c r="A8" s="7" t="s">
        <v>640</v>
      </c>
      <c r="B8" s="7" t="s">
        <v>641</v>
      </c>
      <c r="C8" s="7" t="s">
        <v>642</v>
      </c>
      <c r="D8" s="7" t="s">
        <v>643</v>
      </c>
      <c r="E8" s="7" t="s">
        <v>644</v>
      </c>
      <c r="F8" s="7" t="s">
        <v>645</v>
      </c>
      <c r="G8" s="7" t="s">
        <v>646</v>
      </c>
      <c r="H8" s="7" t="s">
        <v>647</v>
      </c>
      <c r="I8" s="7" t="s">
        <v>648</v>
      </c>
      <c r="J8" s="7" t="s">
        <v>649</v>
      </c>
      <c r="K8" s="7" t="s">
        <v>650</v>
      </c>
      <c r="L8" s="7" t="s">
        <v>395</v>
      </c>
      <c r="M8" s="7" t="s">
        <v>584</v>
      </c>
      <c r="N8" s="8" t="b">
        <f aca="false">TRUE()</f>
        <v>1</v>
      </c>
      <c r="O8" s="7" t="s">
        <v>585</v>
      </c>
      <c r="P8" s="8" t="b">
        <f aca="false">TRUE()</f>
        <v>1</v>
      </c>
      <c r="Q8" s="7" t="s">
        <v>651</v>
      </c>
      <c r="R8" s="8" t="b">
        <f aca="false">TRUE()</f>
        <v>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3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8"/>
    <col collapsed="false" customWidth="true" hidden="false" outlineLevel="0" max="2" min="2" style="0" width="35"/>
    <col collapsed="false" customWidth="true" hidden="false" outlineLevel="0" max="3" min="3" style="0" width="38"/>
    <col collapsed="false" customWidth="true" hidden="false" outlineLevel="0" max="4" min="4" style="0" width="30"/>
  </cols>
  <sheetData>
    <row r="1" customFormat="false" ht="30" hidden="false" customHeight="true" outlineLevel="0" collapsed="false">
      <c r="A1" s="6" t="s">
        <v>652</v>
      </c>
      <c r="B1" s="6" t="s">
        <v>653</v>
      </c>
      <c r="C1" s="6" t="s">
        <v>563</v>
      </c>
      <c r="D1" s="6" t="s">
        <v>564</v>
      </c>
    </row>
    <row r="2" customFormat="false" ht="21.75" hidden="false" customHeight="true" outlineLevel="0" collapsed="false">
      <c r="A2" s="7" t="s">
        <v>573</v>
      </c>
      <c r="B2" s="7" t="s">
        <v>574</v>
      </c>
      <c r="C2" s="7" t="s">
        <v>126</v>
      </c>
      <c r="D2" s="7" t="s">
        <v>127</v>
      </c>
    </row>
    <row r="3" customFormat="false" ht="21.75" hidden="false" customHeight="true" outlineLevel="0" collapsed="false">
      <c r="A3" s="9" t="s">
        <v>573</v>
      </c>
      <c r="B3" s="9" t="s">
        <v>574</v>
      </c>
      <c r="C3" s="9" t="s">
        <v>131</v>
      </c>
      <c r="D3" s="9" t="s">
        <v>132</v>
      </c>
    </row>
    <row r="4" customFormat="false" ht="21.75" hidden="false" customHeight="true" outlineLevel="0" collapsed="false">
      <c r="A4" s="7" t="s">
        <v>573</v>
      </c>
      <c r="B4" s="7" t="s">
        <v>574</v>
      </c>
      <c r="C4" s="7" t="s">
        <v>139</v>
      </c>
      <c r="D4" s="7" t="s">
        <v>140</v>
      </c>
    </row>
    <row r="5" customFormat="false" ht="21.75" hidden="false" customHeight="true" outlineLevel="0" collapsed="false">
      <c r="A5" s="9" t="s">
        <v>573</v>
      </c>
      <c r="B5" s="9" t="s">
        <v>574</v>
      </c>
      <c r="C5" s="9" t="s">
        <v>163</v>
      </c>
      <c r="D5" s="9" t="s">
        <v>164</v>
      </c>
    </row>
    <row r="6" customFormat="false" ht="21.75" hidden="false" customHeight="true" outlineLevel="0" collapsed="false">
      <c r="A6" s="7" t="s">
        <v>573</v>
      </c>
      <c r="B6" s="7" t="s">
        <v>574</v>
      </c>
      <c r="C6" s="7" t="s">
        <v>135</v>
      </c>
      <c r="D6" s="7" t="s">
        <v>136</v>
      </c>
    </row>
    <row r="7" customFormat="false" ht="21.75" hidden="false" customHeight="true" outlineLevel="0" collapsed="false">
      <c r="A7" s="9" t="s">
        <v>573</v>
      </c>
      <c r="B7" s="9" t="s">
        <v>574</v>
      </c>
      <c r="C7" s="9" t="s">
        <v>175</v>
      </c>
      <c r="D7" s="9" t="s">
        <v>176</v>
      </c>
    </row>
    <row r="8" customFormat="false" ht="21.75" hidden="false" customHeight="true" outlineLevel="0" collapsed="false">
      <c r="A8" s="7" t="s">
        <v>587</v>
      </c>
      <c r="B8" s="7" t="s">
        <v>588</v>
      </c>
      <c r="C8" s="7" t="s">
        <v>143</v>
      </c>
      <c r="D8" s="7" t="s">
        <v>144</v>
      </c>
    </row>
    <row r="9" customFormat="false" ht="21.75" hidden="false" customHeight="true" outlineLevel="0" collapsed="false">
      <c r="A9" s="9" t="s">
        <v>587</v>
      </c>
      <c r="B9" s="9" t="s">
        <v>588</v>
      </c>
      <c r="C9" s="9" t="s">
        <v>179</v>
      </c>
      <c r="D9" s="9" t="s">
        <v>180</v>
      </c>
    </row>
    <row r="10" customFormat="false" ht="21.75" hidden="false" customHeight="true" outlineLevel="0" collapsed="false">
      <c r="A10" s="7" t="s">
        <v>587</v>
      </c>
      <c r="B10" s="7" t="s">
        <v>588</v>
      </c>
      <c r="C10" s="7" t="s">
        <v>216</v>
      </c>
      <c r="D10" s="7" t="s">
        <v>217</v>
      </c>
    </row>
    <row r="11" customFormat="false" ht="21.75" hidden="false" customHeight="true" outlineLevel="0" collapsed="false">
      <c r="A11" s="9" t="s">
        <v>587</v>
      </c>
      <c r="B11" s="9" t="s">
        <v>588</v>
      </c>
      <c r="C11" s="9" t="s">
        <v>196</v>
      </c>
      <c r="D11" s="9" t="s">
        <v>197</v>
      </c>
    </row>
    <row r="12" customFormat="false" ht="21.75" hidden="false" customHeight="true" outlineLevel="0" collapsed="false">
      <c r="A12" s="7" t="s">
        <v>587</v>
      </c>
      <c r="B12" s="7" t="s">
        <v>588</v>
      </c>
      <c r="C12" s="7" t="s">
        <v>200</v>
      </c>
      <c r="D12" s="7" t="s">
        <v>201</v>
      </c>
    </row>
    <row r="13" customFormat="false" ht="21.75" hidden="false" customHeight="true" outlineLevel="0" collapsed="false">
      <c r="A13" s="9" t="s">
        <v>598</v>
      </c>
      <c r="B13" s="9" t="s">
        <v>599</v>
      </c>
      <c r="C13" s="9" t="s">
        <v>262</v>
      </c>
      <c r="D13" s="9" t="s">
        <v>263</v>
      </c>
    </row>
    <row r="14" customFormat="false" ht="21.75" hidden="false" customHeight="true" outlineLevel="0" collapsed="false">
      <c r="A14" s="7" t="s">
        <v>598</v>
      </c>
      <c r="B14" s="7" t="s">
        <v>599</v>
      </c>
      <c r="C14" s="7" t="s">
        <v>237</v>
      </c>
      <c r="D14" s="7" t="s">
        <v>238</v>
      </c>
    </row>
    <row r="15" customFormat="false" ht="21.75" hidden="false" customHeight="true" outlineLevel="0" collapsed="false">
      <c r="A15" s="9" t="s">
        <v>598</v>
      </c>
      <c r="B15" s="9" t="s">
        <v>599</v>
      </c>
      <c r="C15" s="9" t="s">
        <v>229</v>
      </c>
      <c r="D15" s="9" t="s">
        <v>230</v>
      </c>
    </row>
    <row r="16" customFormat="false" ht="21.75" hidden="false" customHeight="true" outlineLevel="0" collapsed="false">
      <c r="A16" s="7" t="s">
        <v>608</v>
      </c>
      <c r="B16" s="7" t="s">
        <v>609</v>
      </c>
      <c r="C16" s="7" t="s">
        <v>220</v>
      </c>
      <c r="D16" s="7" t="s">
        <v>221</v>
      </c>
    </row>
    <row r="17" customFormat="false" ht="21.75" hidden="false" customHeight="true" outlineLevel="0" collapsed="false">
      <c r="A17" s="9" t="s">
        <v>608</v>
      </c>
      <c r="B17" s="9" t="s">
        <v>609</v>
      </c>
      <c r="C17" s="9" t="s">
        <v>225</v>
      </c>
      <c r="D17" s="9" t="s">
        <v>226</v>
      </c>
    </row>
    <row r="18" customFormat="false" ht="21.75" hidden="false" customHeight="true" outlineLevel="0" collapsed="false">
      <c r="A18" s="7" t="s">
        <v>608</v>
      </c>
      <c r="B18" s="7" t="s">
        <v>609</v>
      </c>
      <c r="C18" s="7" t="s">
        <v>249</v>
      </c>
      <c r="D18" s="7" t="s">
        <v>250</v>
      </c>
    </row>
    <row r="19" customFormat="false" ht="21.75" hidden="false" customHeight="true" outlineLevel="0" collapsed="false">
      <c r="A19" s="9" t="s">
        <v>608</v>
      </c>
      <c r="B19" s="9" t="s">
        <v>609</v>
      </c>
      <c r="C19" s="9" t="s">
        <v>270</v>
      </c>
      <c r="D19" s="9" t="s">
        <v>271</v>
      </c>
    </row>
    <row r="20" customFormat="false" ht="21.75" hidden="false" customHeight="true" outlineLevel="0" collapsed="false">
      <c r="A20" s="7" t="s">
        <v>620</v>
      </c>
      <c r="B20" s="7" t="s">
        <v>621</v>
      </c>
      <c r="C20" s="7" t="s">
        <v>151</v>
      </c>
      <c r="D20" s="7" t="s">
        <v>152</v>
      </c>
    </row>
    <row r="21" customFormat="false" ht="21.75" hidden="false" customHeight="true" outlineLevel="0" collapsed="false">
      <c r="A21" s="9" t="s">
        <v>620</v>
      </c>
      <c r="B21" s="9" t="s">
        <v>621</v>
      </c>
      <c r="C21" s="9" t="s">
        <v>159</v>
      </c>
      <c r="D21" s="9" t="s">
        <v>160</v>
      </c>
    </row>
    <row r="22" customFormat="false" ht="21.75" hidden="false" customHeight="true" outlineLevel="0" collapsed="false">
      <c r="A22" s="7" t="s">
        <v>620</v>
      </c>
      <c r="B22" s="7" t="s">
        <v>621</v>
      </c>
      <c r="C22" s="7" t="s">
        <v>188</v>
      </c>
      <c r="D22" s="7" t="s">
        <v>189</v>
      </c>
    </row>
    <row r="23" customFormat="false" ht="21.75" hidden="false" customHeight="true" outlineLevel="0" collapsed="false">
      <c r="A23" s="9" t="s">
        <v>631</v>
      </c>
      <c r="B23" s="9" t="s">
        <v>632</v>
      </c>
      <c r="C23" s="9" t="s">
        <v>143</v>
      </c>
      <c r="D23" s="9" t="s">
        <v>144</v>
      </c>
    </row>
    <row r="24" customFormat="false" ht="21.75" hidden="false" customHeight="true" outlineLevel="0" collapsed="false">
      <c r="A24" s="7" t="s">
        <v>631</v>
      </c>
      <c r="B24" s="7" t="s">
        <v>632</v>
      </c>
      <c r="C24" s="7" t="s">
        <v>196</v>
      </c>
      <c r="D24" s="7" t="s">
        <v>197</v>
      </c>
    </row>
    <row r="25" customFormat="false" ht="21.75" hidden="false" customHeight="true" outlineLevel="0" collapsed="false">
      <c r="A25" s="9" t="s">
        <v>631</v>
      </c>
      <c r="B25" s="9" t="s">
        <v>632</v>
      </c>
      <c r="C25" s="9" t="s">
        <v>216</v>
      </c>
      <c r="D25" s="9" t="s">
        <v>217</v>
      </c>
    </row>
    <row r="26" customFormat="false" ht="21.75" hidden="false" customHeight="true" outlineLevel="0" collapsed="false">
      <c r="A26" s="7" t="s">
        <v>631</v>
      </c>
      <c r="B26" s="7" t="s">
        <v>632</v>
      </c>
      <c r="C26" s="7" t="s">
        <v>175</v>
      </c>
      <c r="D26" s="7" t="s">
        <v>176</v>
      </c>
    </row>
    <row r="27" customFormat="false" ht="21.75" hidden="false" customHeight="true" outlineLevel="0" collapsed="false">
      <c r="A27" s="9" t="s">
        <v>640</v>
      </c>
      <c r="B27" s="9" t="s">
        <v>654</v>
      </c>
      <c r="C27" s="9" t="s">
        <v>175</v>
      </c>
      <c r="D27" s="9" t="s">
        <v>176</v>
      </c>
    </row>
    <row r="28" customFormat="false" ht="21.75" hidden="false" customHeight="true" outlineLevel="0" collapsed="false">
      <c r="A28" s="7" t="s">
        <v>640</v>
      </c>
      <c r="B28" s="7" t="s">
        <v>654</v>
      </c>
      <c r="C28" s="7" t="s">
        <v>171</v>
      </c>
      <c r="D28" s="7" t="s">
        <v>172</v>
      </c>
    </row>
    <row r="29" customFormat="false" ht="21.75" hidden="false" customHeight="true" outlineLevel="0" collapsed="false">
      <c r="A29" s="9" t="s">
        <v>640</v>
      </c>
      <c r="B29" s="9" t="s">
        <v>654</v>
      </c>
      <c r="C29" s="9" t="s">
        <v>163</v>
      </c>
      <c r="D29" s="9" t="s">
        <v>164</v>
      </c>
    </row>
    <row r="30" customFormat="false" ht="21.75" hidden="false" customHeight="true" outlineLevel="0" collapsed="false">
      <c r="A30" s="7" t="s">
        <v>640</v>
      </c>
      <c r="B30" s="7" t="s">
        <v>654</v>
      </c>
      <c r="C30" s="7" t="s">
        <v>131</v>
      </c>
      <c r="D30" s="7" t="s">
        <v>132</v>
      </c>
    </row>
    <row r="31" customFormat="false" ht="21.75" hidden="false" customHeight="true" outlineLevel="0" collapsed="false">
      <c r="A31" s="9" t="s">
        <v>640</v>
      </c>
      <c r="B31" s="9" t="s">
        <v>654</v>
      </c>
      <c r="C31" s="9" t="s">
        <v>151</v>
      </c>
      <c r="D31" s="9" t="s">
        <v>152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8"/>
    <col collapsed="false" customWidth="true" hidden="false" outlineLevel="0" max="2" min="2" style="0" width="40"/>
    <col collapsed="false" customWidth="true" hidden="false" outlineLevel="0" max="3" min="3" style="0" width="38"/>
    <col collapsed="false" customWidth="true" hidden="false" outlineLevel="0" max="4" min="4" style="0" width="35"/>
    <col collapsed="false" customWidth="true" hidden="false" outlineLevel="0" max="5" min="5" style="0" width="50"/>
  </cols>
  <sheetData>
    <row r="1" customFormat="false" ht="30" hidden="false" customHeight="true" outlineLevel="0" collapsed="false">
      <c r="A1" s="6" t="s">
        <v>561</v>
      </c>
      <c r="B1" s="6" t="s">
        <v>562</v>
      </c>
      <c r="C1" s="6" t="s">
        <v>652</v>
      </c>
      <c r="D1" s="6" t="s">
        <v>653</v>
      </c>
      <c r="E1" s="6" t="s">
        <v>655</v>
      </c>
    </row>
    <row r="2" customFormat="false" ht="21.75" hidden="false" customHeight="true" outlineLevel="0" collapsed="false">
      <c r="A2" s="7" t="s">
        <v>550</v>
      </c>
      <c r="B2" s="7" t="s">
        <v>551</v>
      </c>
      <c r="C2" s="7" t="s">
        <v>631</v>
      </c>
      <c r="D2" s="7" t="s">
        <v>632</v>
      </c>
      <c r="E2" s="7" t="s">
        <v>656</v>
      </c>
    </row>
    <row r="3" customFormat="false" ht="21.75" hidden="false" customHeight="true" outlineLevel="0" collapsed="false">
      <c r="A3" s="9" t="s">
        <v>550</v>
      </c>
      <c r="B3" s="9" t="s">
        <v>551</v>
      </c>
      <c r="C3" s="9" t="s">
        <v>587</v>
      </c>
      <c r="D3" s="9" t="s">
        <v>588</v>
      </c>
      <c r="E3" s="9" t="s">
        <v>657</v>
      </c>
    </row>
    <row r="4" customFormat="false" ht="21.75" hidden="false" customHeight="true" outlineLevel="0" collapsed="false">
      <c r="A4" s="7" t="s">
        <v>550</v>
      </c>
      <c r="B4" s="7" t="s">
        <v>551</v>
      </c>
      <c r="C4" s="7" t="s">
        <v>640</v>
      </c>
      <c r="D4" s="7" t="s">
        <v>654</v>
      </c>
      <c r="E4" s="7" t="s">
        <v>658</v>
      </c>
    </row>
    <row r="5" customFormat="false" ht="21.75" hidden="false" customHeight="true" outlineLevel="0" collapsed="false">
      <c r="A5" s="9" t="s">
        <v>530</v>
      </c>
      <c r="B5" s="9" t="s">
        <v>531</v>
      </c>
      <c r="C5" s="9" t="s">
        <v>640</v>
      </c>
      <c r="D5" s="9" t="s">
        <v>654</v>
      </c>
      <c r="E5" s="9" t="s">
        <v>659</v>
      </c>
    </row>
    <row r="6" customFormat="false" ht="21.75" hidden="false" customHeight="true" outlineLevel="0" collapsed="false">
      <c r="A6" s="7" t="s">
        <v>530</v>
      </c>
      <c r="B6" s="7" t="s">
        <v>531</v>
      </c>
      <c r="C6" s="7" t="s">
        <v>620</v>
      </c>
      <c r="D6" s="7" t="s">
        <v>621</v>
      </c>
      <c r="E6" s="7" t="s">
        <v>660</v>
      </c>
    </row>
    <row r="7" customFormat="false" ht="21.75" hidden="false" customHeight="true" outlineLevel="0" collapsed="false">
      <c r="A7" s="9" t="s">
        <v>530</v>
      </c>
      <c r="B7" s="9" t="s">
        <v>531</v>
      </c>
      <c r="C7" s="9" t="s">
        <v>573</v>
      </c>
      <c r="D7" s="9" t="s">
        <v>574</v>
      </c>
      <c r="E7" s="9" t="s">
        <v>661</v>
      </c>
    </row>
    <row r="8" customFormat="false" ht="21.75" hidden="false" customHeight="true" outlineLevel="0" collapsed="false">
      <c r="A8" s="7" t="s">
        <v>484</v>
      </c>
      <c r="B8" s="7" t="s">
        <v>485</v>
      </c>
      <c r="C8" s="7" t="s">
        <v>608</v>
      </c>
      <c r="D8" s="7" t="s">
        <v>609</v>
      </c>
      <c r="E8" s="7" t="s">
        <v>662</v>
      </c>
    </row>
    <row r="9" customFormat="false" ht="21.75" hidden="false" customHeight="true" outlineLevel="0" collapsed="false">
      <c r="A9" s="9" t="s">
        <v>398</v>
      </c>
      <c r="B9" s="9" t="s">
        <v>399</v>
      </c>
      <c r="C9" s="9" t="s">
        <v>587</v>
      </c>
      <c r="D9" s="9" t="s">
        <v>588</v>
      </c>
      <c r="E9" s="9" t="s">
        <v>663</v>
      </c>
    </row>
    <row r="10" customFormat="false" ht="21.75" hidden="false" customHeight="true" outlineLevel="0" collapsed="false">
      <c r="A10" s="7" t="s">
        <v>410</v>
      </c>
      <c r="B10" s="7" t="s">
        <v>411</v>
      </c>
      <c r="C10" s="7" t="s">
        <v>598</v>
      </c>
      <c r="D10" s="7" t="s">
        <v>599</v>
      </c>
      <c r="E10" s="7" t="s">
        <v>664</v>
      </c>
    </row>
    <row r="11" customFormat="false" ht="21.75" hidden="false" customHeight="true" outlineLevel="0" collapsed="false">
      <c r="A11" s="9" t="s">
        <v>424</v>
      </c>
      <c r="B11" s="9" t="s">
        <v>425</v>
      </c>
      <c r="C11" s="9" t="s">
        <v>598</v>
      </c>
      <c r="D11" s="9" t="s">
        <v>599</v>
      </c>
      <c r="E11" s="9" t="s">
        <v>665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2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8"/>
    <col collapsed="false" customWidth="true" hidden="false" outlineLevel="0" max="2" min="2" style="0" width="52"/>
    <col collapsed="false" customWidth="true" hidden="false" outlineLevel="0" max="3" min="3" style="0" width="38"/>
    <col collapsed="false" customWidth="true" hidden="false" outlineLevel="0" max="4" min="4" style="0" width="12"/>
    <col collapsed="false" customWidth="true" hidden="false" outlineLevel="0" max="5" min="5" style="0" width="14"/>
    <col collapsed="false" customWidth="true" hidden="false" outlineLevel="0" max="6" min="6" style="0" width="16"/>
    <col collapsed="false" customWidth="true" hidden="false" outlineLevel="0" max="7" min="7" style="0" width="55"/>
    <col collapsed="false" customWidth="true" hidden="false" outlineLevel="0" max="8" min="8" style="0" width="28"/>
    <col collapsed="false" customWidth="true" hidden="false" outlineLevel="0" max="9" min="9" style="0" width="38"/>
    <col collapsed="false" customWidth="true" hidden="false" outlineLevel="0" max="12" min="10" style="0" width="10"/>
  </cols>
  <sheetData>
    <row r="1" customFormat="false" ht="30" hidden="false" customHeight="true" outlineLevel="0" collapsed="false">
      <c r="A1" s="6" t="s">
        <v>53</v>
      </c>
      <c r="B1" s="6" t="s">
        <v>666</v>
      </c>
      <c r="C1" s="6" t="s">
        <v>667</v>
      </c>
      <c r="D1" s="6" t="s">
        <v>668</v>
      </c>
      <c r="E1" s="6" t="s">
        <v>669</v>
      </c>
      <c r="F1" s="6" t="s">
        <v>670</v>
      </c>
      <c r="G1" s="6" t="s">
        <v>671</v>
      </c>
      <c r="H1" s="6" t="s">
        <v>672</v>
      </c>
      <c r="I1" s="6" t="s">
        <v>673</v>
      </c>
      <c r="J1" s="6" t="s">
        <v>674</v>
      </c>
      <c r="K1" s="6" t="s">
        <v>59</v>
      </c>
      <c r="L1" s="6" t="s">
        <v>60</v>
      </c>
    </row>
    <row r="2" customFormat="false" ht="21.75" hidden="false" customHeight="true" outlineLevel="0" collapsed="false">
      <c r="A2" s="7" t="s">
        <v>675</v>
      </c>
      <c r="B2" s="7" t="s">
        <v>676</v>
      </c>
      <c r="C2" s="7" t="s">
        <v>677</v>
      </c>
      <c r="D2" s="7" t="s">
        <v>678</v>
      </c>
      <c r="E2" s="7" t="n">
        <v>1</v>
      </c>
      <c r="F2" s="7" t="s">
        <v>679</v>
      </c>
      <c r="G2" s="7" t="s">
        <v>680</v>
      </c>
      <c r="H2" s="7"/>
      <c r="I2" s="7"/>
      <c r="J2" s="8" t="b">
        <f aca="false">TRUE()</f>
        <v>1</v>
      </c>
      <c r="K2" s="8" t="b">
        <f aca="false">TRUE()</f>
        <v>1</v>
      </c>
      <c r="L2" s="7" t="n">
        <v>1</v>
      </c>
    </row>
    <row r="3" customFormat="false" ht="21.75" hidden="false" customHeight="true" outlineLevel="0" collapsed="false">
      <c r="A3" s="9" t="s">
        <v>681</v>
      </c>
      <c r="B3" s="9" t="s">
        <v>682</v>
      </c>
      <c r="C3" s="9" t="s">
        <v>683</v>
      </c>
      <c r="D3" s="9" t="s">
        <v>678</v>
      </c>
      <c r="E3" s="9" t="n">
        <v>1</v>
      </c>
      <c r="F3" s="9" t="s">
        <v>679</v>
      </c>
      <c r="G3" s="9" t="s">
        <v>684</v>
      </c>
      <c r="H3" s="9"/>
      <c r="I3" s="9"/>
      <c r="J3" s="10" t="b">
        <f aca="false">TRUE()</f>
        <v>1</v>
      </c>
      <c r="K3" s="10" t="b">
        <f aca="false">TRUE()</f>
        <v>1</v>
      </c>
      <c r="L3" s="9" t="n">
        <v>2</v>
      </c>
    </row>
    <row r="4" customFormat="false" ht="21.75" hidden="false" customHeight="true" outlineLevel="0" collapsed="false">
      <c r="A4" s="7" t="s">
        <v>685</v>
      </c>
      <c r="B4" s="7" t="s">
        <v>686</v>
      </c>
      <c r="C4" s="7" t="s">
        <v>687</v>
      </c>
      <c r="D4" s="7" t="s">
        <v>678</v>
      </c>
      <c r="E4" s="7" t="n">
        <v>1</v>
      </c>
      <c r="F4" s="7" t="s">
        <v>679</v>
      </c>
      <c r="G4" s="7" t="s">
        <v>688</v>
      </c>
      <c r="H4" s="7"/>
      <c r="I4" s="7"/>
      <c r="J4" s="8" t="b">
        <f aca="false">TRUE()</f>
        <v>1</v>
      </c>
      <c r="K4" s="8" t="b">
        <f aca="false">TRUE()</f>
        <v>1</v>
      </c>
      <c r="L4" s="7" t="n">
        <v>3</v>
      </c>
    </row>
    <row r="5" customFormat="false" ht="21.75" hidden="false" customHeight="true" outlineLevel="0" collapsed="false">
      <c r="A5" s="9" t="s">
        <v>689</v>
      </c>
      <c r="B5" s="9" t="s">
        <v>690</v>
      </c>
      <c r="C5" s="9" t="s">
        <v>691</v>
      </c>
      <c r="D5" s="9" t="s">
        <v>678</v>
      </c>
      <c r="E5" s="9" t="n">
        <v>1</v>
      </c>
      <c r="F5" s="9" t="s">
        <v>679</v>
      </c>
      <c r="G5" s="9" t="s">
        <v>692</v>
      </c>
      <c r="H5" s="9"/>
      <c r="I5" s="9"/>
      <c r="J5" s="10" t="b">
        <f aca="false">TRUE()</f>
        <v>1</v>
      </c>
      <c r="K5" s="10" t="b">
        <f aca="false">TRUE()</f>
        <v>1</v>
      </c>
      <c r="L5" s="9" t="n">
        <v>4</v>
      </c>
    </row>
    <row r="6" customFormat="false" ht="21.75" hidden="false" customHeight="true" outlineLevel="0" collapsed="false">
      <c r="A6" s="7" t="s">
        <v>693</v>
      </c>
      <c r="B6" s="7" t="s">
        <v>694</v>
      </c>
      <c r="C6" s="7"/>
      <c r="D6" s="7" t="s">
        <v>678</v>
      </c>
      <c r="E6" s="7" t="n">
        <v>1</v>
      </c>
      <c r="F6" s="7" t="s">
        <v>679</v>
      </c>
      <c r="G6" s="7" t="s">
        <v>695</v>
      </c>
      <c r="H6" s="7"/>
      <c r="I6" s="7"/>
      <c r="J6" s="8" t="b">
        <f aca="false">TRUE()</f>
        <v>1</v>
      </c>
      <c r="K6" s="8" t="b">
        <f aca="false">TRUE()</f>
        <v>1</v>
      </c>
      <c r="L6" s="7" t="n">
        <v>5</v>
      </c>
    </row>
    <row r="7" customFormat="false" ht="21.75" hidden="false" customHeight="true" outlineLevel="0" collapsed="false">
      <c r="A7" s="9" t="s">
        <v>696</v>
      </c>
      <c r="B7" s="9" t="s">
        <v>697</v>
      </c>
      <c r="C7" s="9"/>
      <c r="D7" s="9" t="s">
        <v>678</v>
      </c>
      <c r="E7" s="9" t="n">
        <v>1</v>
      </c>
      <c r="F7" s="9" t="s">
        <v>679</v>
      </c>
      <c r="G7" s="9" t="s">
        <v>698</v>
      </c>
      <c r="H7" s="9"/>
      <c r="I7" s="9"/>
      <c r="J7" s="10" t="b">
        <f aca="false">TRUE()</f>
        <v>1</v>
      </c>
      <c r="K7" s="10" t="b">
        <f aca="false">TRUE()</f>
        <v>1</v>
      </c>
      <c r="L7" s="9" t="n">
        <v>6</v>
      </c>
    </row>
    <row r="8" customFormat="false" ht="21.75" hidden="false" customHeight="true" outlineLevel="0" collapsed="false">
      <c r="A8" s="7" t="s">
        <v>699</v>
      </c>
      <c r="B8" s="7" t="s">
        <v>700</v>
      </c>
      <c r="C8" s="7" t="s">
        <v>701</v>
      </c>
      <c r="D8" s="7" t="s">
        <v>678</v>
      </c>
      <c r="E8" s="7" t="n">
        <v>1</v>
      </c>
      <c r="F8" s="7" t="s">
        <v>702</v>
      </c>
      <c r="G8" s="7" t="s">
        <v>703</v>
      </c>
      <c r="H8" s="7"/>
      <c r="I8" s="7"/>
      <c r="J8" s="8" t="b">
        <f aca="false">TRUE()</f>
        <v>1</v>
      </c>
      <c r="K8" s="8" t="b">
        <f aca="false">TRUE()</f>
        <v>1</v>
      </c>
      <c r="L8" s="7" t="n">
        <v>7</v>
      </c>
    </row>
    <row r="9" customFormat="false" ht="21.75" hidden="false" customHeight="true" outlineLevel="0" collapsed="false">
      <c r="A9" s="9" t="s">
        <v>704</v>
      </c>
      <c r="B9" s="9" t="s">
        <v>705</v>
      </c>
      <c r="C9" s="9" t="s">
        <v>706</v>
      </c>
      <c r="D9" s="9" t="s">
        <v>129</v>
      </c>
      <c r="E9" s="9" t="n">
        <v>1.5</v>
      </c>
      <c r="F9" s="9" t="s">
        <v>679</v>
      </c>
      <c r="G9" s="9" t="s">
        <v>707</v>
      </c>
      <c r="H9" s="9"/>
      <c r="I9" s="9"/>
      <c r="J9" s="10" t="b">
        <f aca="false">TRUE()</f>
        <v>1</v>
      </c>
      <c r="K9" s="10" t="b">
        <f aca="false">TRUE()</f>
        <v>1</v>
      </c>
      <c r="L9" s="9" t="n">
        <v>10</v>
      </c>
    </row>
    <row r="10" customFormat="false" ht="21.75" hidden="false" customHeight="true" outlineLevel="0" collapsed="false">
      <c r="A10" s="7" t="s">
        <v>708</v>
      </c>
      <c r="B10" s="7" t="s">
        <v>709</v>
      </c>
      <c r="C10" s="7" t="s">
        <v>710</v>
      </c>
      <c r="D10" s="7" t="s">
        <v>129</v>
      </c>
      <c r="E10" s="7" t="n">
        <v>1</v>
      </c>
      <c r="F10" s="7" t="s">
        <v>679</v>
      </c>
      <c r="G10" s="7" t="s">
        <v>711</v>
      </c>
      <c r="H10" s="7"/>
      <c r="I10" s="7"/>
      <c r="J10" s="8" t="b">
        <f aca="false">TRUE()</f>
        <v>1</v>
      </c>
      <c r="K10" s="8" t="b">
        <f aca="false">TRUE()</f>
        <v>1</v>
      </c>
      <c r="L10" s="7" t="n">
        <v>11</v>
      </c>
    </row>
    <row r="11" customFormat="false" ht="21.75" hidden="false" customHeight="true" outlineLevel="0" collapsed="false">
      <c r="A11" s="9" t="s">
        <v>712</v>
      </c>
      <c r="B11" s="9" t="s">
        <v>713</v>
      </c>
      <c r="C11" s="9"/>
      <c r="D11" s="9" t="s">
        <v>129</v>
      </c>
      <c r="E11" s="9" t="n">
        <v>1.2</v>
      </c>
      <c r="F11" s="9" t="s">
        <v>679</v>
      </c>
      <c r="G11" s="9" t="s">
        <v>714</v>
      </c>
      <c r="H11" s="9"/>
      <c r="I11" s="9"/>
      <c r="J11" s="10" t="b">
        <f aca="false">TRUE()</f>
        <v>1</v>
      </c>
      <c r="K11" s="10" t="b">
        <f aca="false">TRUE()</f>
        <v>1</v>
      </c>
      <c r="L11" s="9" t="n">
        <v>12</v>
      </c>
    </row>
    <row r="12" customFormat="false" ht="21.75" hidden="false" customHeight="true" outlineLevel="0" collapsed="false">
      <c r="A12" s="7" t="s">
        <v>715</v>
      </c>
      <c r="B12" s="7" t="s">
        <v>716</v>
      </c>
      <c r="C12" s="7" t="s">
        <v>717</v>
      </c>
      <c r="D12" s="7" t="s">
        <v>129</v>
      </c>
      <c r="E12" s="7" t="n">
        <v>1</v>
      </c>
      <c r="F12" s="7" t="s">
        <v>679</v>
      </c>
      <c r="G12" s="7" t="s">
        <v>718</v>
      </c>
      <c r="H12" s="7" t="s">
        <v>719</v>
      </c>
      <c r="I12" s="7"/>
      <c r="J12" s="8" t="b">
        <f aca="false">TRUE()</f>
        <v>1</v>
      </c>
      <c r="K12" s="8" t="b">
        <f aca="false">TRUE()</f>
        <v>1</v>
      </c>
      <c r="L12" s="7" t="n">
        <v>13</v>
      </c>
    </row>
    <row r="13" customFormat="false" ht="21.75" hidden="false" customHeight="true" outlineLevel="0" collapsed="false">
      <c r="A13" s="9" t="s">
        <v>720</v>
      </c>
      <c r="B13" s="9" t="s">
        <v>721</v>
      </c>
      <c r="C13" s="9"/>
      <c r="D13" s="9" t="s">
        <v>129</v>
      </c>
      <c r="E13" s="9" t="n">
        <v>1</v>
      </c>
      <c r="F13" s="9" t="s">
        <v>679</v>
      </c>
      <c r="G13" s="9" t="s">
        <v>722</v>
      </c>
      <c r="H13" s="9" t="s">
        <v>723</v>
      </c>
      <c r="I13" s="9"/>
      <c r="J13" s="10" t="b">
        <f aca="false">TRUE()</f>
        <v>1</v>
      </c>
      <c r="K13" s="10" t="b">
        <f aca="false">TRUE()</f>
        <v>1</v>
      </c>
      <c r="L13" s="9" t="n">
        <v>14</v>
      </c>
    </row>
    <row r="14" customFormat="false" ht="21.75" hidden="false" customHeight="true" outlineLevel="0" collapsed="false">
      <c r="A14" s="7" t="s">
        <v>724</v>
      </c>
      <c r="B14" s="7" t="s">
        <v>725</v>
      </c>
      <c r="C14" s="7" t="s">
        <v>726</v>
      </c>
      <c r="D14" s="7" t="s">
        <v>129</v>
      </c>
      <c r="E14" s="7" t="n">
        <v>1</v>
      </c>
      <c r="F14" s="7" t="s">
        <v>679</v>
      </c>
      <c r="G14" s="7" t="s">
        <v>727</v>
      </c>
      <c r="H14" s="7"/>
      <c r="I14" s="7"/>
      <c r="J14" s="8" t="b">
        <f aca="false">TRUE()</f>
        <v>1</v>
      </c>
      <c r="K14" s="8" t="b">
        <f aca="false">TRUE()</f>
        <v>1</v>
      </c>
      <c r="L14" s="7" t="n">
        <v>15</v>
      </c>
    </row>
    <row r="15" customFormat="false" ht="21.75" hidden="false" customHeight="true" outlineLevel="0" collapsed="false">
      <c r="A15" s="9" t="s">
        <v>728</v>
      </c>
      <c r="B15" s="9" t="s">
        <v>729</v>
      </c>
      <c r="C15" s="9"/>
      <c r="D15" s="9" t="s">
        <v>129</v>
      </c>
      <c r="E15" s="9" t="n">
        <v>1</v>
      </c>
      <c r="F15" s="9" t="s">
        <v>679</v>
      </c>
      <c r="G15" s="9" t="s">
        <v>730</v>
      </c>
      <c r="H15" s="9"/>
      <c r="I15" s="9"/>
      <c r="J15" s="10" t="b">
        <f aca="false">TRUE()</f>
        <v>1</v>
      </c>
      <c r="K15" s="10" t="b">
        <f aca="false">TRUE()</f>
        <v>1</v>
      </c>
      <c r="L15" s="9" t="n">
        <v>16</v>
      </c>
    </row>
    <row r="16" customFormat="false" ht="21.75" hidden="false" customHeight="true" outlineLevel="0" collapsed="false">
      <c r="A16" s="7" t="s">
        <v>731</v>
      </c>
      <c r="B16" s="7" t="s">
        <v>732</v>
      </c>
      <c r="C16" s="7" t="s">
        <v>733</v>
      </c>
      <c r="D16" s="7" t="s">
        <v>129</v>
      </c>
      <c r="E16" s="7" t="n">
        <v>0.8</v>
      </c>
      <c r="F16" s="7" t="s">
        <v>679</v>
      </c>
      <c r="G16" s="7" t="s">
        <v>734</v>
      </c>
      <c r="H16" s="7"/>
      <c r="I16" s="7"/>
      <c r="J16" s="8" t="b">
        <f aca="false">FALSE()</f>
        <v>0</v>
      </c>
      <c r="K16" s="8" t="b">
        <f aca="false">TRUE()</f>
        <v>1</v>
      </c>
      <c r="L16" s="7" t="n">
        <v>17</v>
      </c>
    </row>
    <row r="17" customFormat="false" ht="21.75" hidden="false" customHeight="true" outlineLevel="0" collapsed="false">
      <c r="A17" s="9" t="s">
        <v>735</v>
      </c>
      <c r="B17" s="9" t="s">
        <v>736</v>
      </c>
      <c r="C17" s="9" t="s">
        <v>737</v>
      </c>
      <c r="D17" s="9" t="s">
        <v>182</v>
      </c>
      <c r="E17" s="9" t="n">
        <v>1.2</v>
      </c>
      <c r="F17" s="9" t="s">
        <v>679</v>
      </c>
      <c r="G17" s="9" t="s">
        <v>738</v>
      </c>
      <c r="H17" s="9"/>
      <c r="I17" s="9"/>
      <c r="J17" s="10" t="b">
        <f aca="false">TRUE()</f>
        <v>1</v>
      </c>
      <c r="K17" s="10" t="b">
        <f aca="false">TRUE()</f>
        <v>1</v>
      </c>
      <c r="L17" s="9" t="n">
        <v>20</v>
      </c>
    </row>
    <row r="18" customFormat="false" ht="21.75" hidden="false" customHeight="true" outlineLevel="0" collapsed="false">
      <c r="A18" s="7" t="s">
        <v>739</v>
      </c>
      <c r="B18" s="7" t="s">
        <v>740</v>
      </c>
      <c r="C18" s="7" t="s">
        <v>741</v>
      </c>
      <c r="D18" s="7" t="s">
        <v>182</v>
      </c>
      <c r="E18" s="7" t="n">
        <v>1</v>
      </c>
      <c r="F18" s="7" t="s">
        <v>679</v>
      </c>
      <c r="G18" s="7" t="s">
        <v>742</v>
      </c>
      <c r="H18" s="7" t="s">
        <v>743</v>
      </c>
      <c r="I18" s="7"/>
      <c r="J18" s="8" t="b">
        <f aca="false">FALSE()</f>
        <v>0</v>
      </c>
      <c r="K18" s="8" t="b">
        <f aca="false">TRUE()</f>
        <v>1</v>
      </c>
      <c r="L18" s="7" t="n">
        <v>21</v>
      </c>
    </row>
    <row r="19" customFormat="false" ht="21.75" hidden="false" customHeight="true" outlineLevel="0" collapsed="false">
      <c r="A19" s="9" t="s">
        <v>744</v>
      </c>
      <c r="B19" s="9" t="s">
        <v>745</v>
      </c>
      <c r="C19" s="9"/>
      <c r="D19" s="9" t="s">
        <v>182</v>
      </c>
      <c r="E19" s="9" t="n">
        <v>1</v>
      </c>
      <c r="F19" s="9" t="s">
        <v>679</v>
      </c>
      <c r="G19" s="9" t="s">
        <v>746</v>
      </c>
      <c r="H19" s="9"/>
      <c r="I19" s="9"/>
      <c r="J19" s="10" t="b">
        <f aca="false">TRUE()</f>
        <v>1</v>
      </c>
      <c r="K19" s="10" t="b">
        <f aca="false">TRUE()</f>
        <v>1</v>
      </c>
      <c r="L19" s="9" t="n">
        <v>22</v>
      </c>
    </row>
    <row r="20" customFormat="false" ht="21.75" hidden="false" customHeight="true" outlineLevel="0" collapsed="false">
      <c r="A20" s="7" t="s">
        <v>747</v>
      </c>
      <c r="B20" s="7" t="s">
        <v>748</v>
      </c>
      <c r="C20" s="7" t="s">
        <v>749</v>
      </c>
      <c r="D20" s="7" t="s">
        <v>182</v>
      </c>
      <c r="E20" s="7" t="n">
        <v>1</v>
      </c>
      <c r="F20" s="7" t="s">
        <v>679</v>
      </c>
      <c r="G20" s="7" t="s">
        <v>750</v>
      </c>
      <c r="H20" s="7"/>
      <c r="I20" s="7"/>
      <c r="J20" s="8" t="b">
        <f aca="false">TRUE()</f>
        <v>1</v>
      </c>
      <c r="K20" s="8" t="b">
        <f aca="false">TRUE()</f>
        <v>1</v>
      </c>
      <c r="L20" s="7" t="n">
        <v>23</v>
      </c>
    </row>
    <row r="21" customFormat="false" ht="21.75" hidden="false" customHeight="true" outlineLevel="0" collapsed="false">
      <c r="A21" s="9" t="s">
        <v>751</v>
      </c>
      <c r="B21" s="9" t="s">
        <v>752</v>
      </c>
      <c r="C21" s="9" t="s">
        <v>753</v>
      </c>
      <c r="D21" s="9" t="s">
        <v>182</v>
      </c>
      <c r="E21" s="9" t="n">
        <v>0.8</v>
      </c>
      <c r="F21" s="9" t="s">
        <v>754</v>
      </c>
      <c r="G21" s="9" t="s">
        <v>755</v>
      </c>
      <c r="H21" s="9"/>
      <c r="I21" s="9"/>
      <c r="J21" s="10" t="b">
        <f aca="false">FALSE()</f>
        <v>0</v>
      </c>
      <c r="K21" s="10" t="b">
        <f aca="false">TRUE()</f>
        <v>1</v>
      </c>
      <c r="L21" s="9" t="n">
        <v>24</v>
      </c>
    </row>
    <row r="22" customFormat="false" ht="21.75" hidden="false" customHeight="true" outlineLevel="0" collapsed="false">
      <c r="A22" s="7" t="s">
        <v>756</v>
      </c>
      <c r="B22" s="7" t="s">
        <v>757</v>
      </c>
      <c r="C22" s="7"/>
      <c r="D22" s="7" t="s">
        <v>223</v>
      </c>
      <c r="E22" s="7" t="n">
        <v>1.2</v>
      </c>
      <c r="F22" s="7" t="s">
        <v>679</v>
      </c>
      <c r="G22" s="7" t="s">
        <v>758</v>
      </c>
      <c r="H22" s="7"/>
      <c r="I22" s="7"/>
      <c r="J22" s="8" t="b">
        <f aca="false">TRUE()</f>
        <v>1</v>
      </c>
      <c r="K22" s="8" t="b">
        <f aca="false">TRUE()</f>
        <v>1</v>
      </c>
      <c r="L22" s="7" t="n">
        <v>30</v>
      </c>
    </row>
    <row r="23" customFormat="false" ht="21.75" hidden="false" customHeight="true" outlineLevel="0" collapsed="false">
      <c r="A23" s="9" t="s">
        <v>759</v>
      </c>
      <c r="B23" s="9" t="s">
        <v>760</v>
      </c>
      <c r="C23" s="9"/>
      <c r="D23" s="9" t="s">
        <v>223</v>
      </c>
      <c r="E23" s="9" t="n">
        <v>1</v>
      </c>
      <c r="F23" s="9" t="s">
        <v>679</v>
      </c>
      <c r="G23" s="9" t="s">
        <v>761</v>
      </c>
      <c r="H23" s="9"/>
      <c r="I23" s="9"/>
      <c r="J23" s="10" t="b">
        <f aca="false">TRUE()</f>
        <v>1</v>
      </c>
      <c r="K23" s="10" t="b">
        <f aca="false">TRUE()</f>
        <v>1</v>
      </c>
      <c r="L23" s="9" t="n">
        <v>31</v>
      </c>
    </row>
    <row r="24" customFormat="false" ht="21.75" hidden="false" customHeight="true" outlineLevel="0" collapsed="false">
      <c r="A24" s="7" t="s">
        <v>762</v>
      </c>
      <c r="B24" s="7" t="s">
        <v>763</v>
      </c>
      <c r="C24" s="7" t="s">
        <v>764</v>
      </c>
      <c r="D24" s="7" t="s">
        <v>223</v>
      </c>
      <c r="E24" s="7" t="n">
        <v>1</v>
      </c>
      <c r="F24" s="7" t="s">
        <v>679</v>
      </c>
      <c r="G24" s="7" t="s">
        <v>765</v>
      </c>
      <c r="H24" s="7"/>
      <c r="I24" s="7"/>
      <c r="J24" s="8" t="b">
        <f aca="false">TRUE()</f>
        <v>1</v>
      </c>
      <c r="K24" s="8" t="b">
        <f aca="false">TRUE()</f>
        <v>1</v>
      </c>
      <c r="L24" s="7" t="n">
        <v>32</v>
      </c>
    </row>
    <row r="25" customFormat="false" ht="21.75" hidden="false" customHeight="true" outlineLevel="0" collapsed="false">
      <c r="A25" s="9" t="s">
        <v>766</v>
      </c>
      <c r="B25" s="9" t="s">
        <v>767</v>
      </c>
      <c r="C25" s="9" t="s">
        <v>768</v>
      </c>
      <c r="D25" s="9" t="s">
        <v>223</v>
      </c>
      <c r="E25" s="9" t="n">
        <v>1</v>
      </c>
      <c r="F25" s="9" t="s">
        <v>679</v>
      </c>
      <c r="G25" s="9" t="s">
        <v>769</v>
      </c>
      <c r="H25" s="9"/>
      <c r="I25" s="9"/>
      <c r="J25" s="10" t="b">
        <f aca="false">TRUE()</f>
        <v>1</v>
      </c>
      <c r="K25" s="10" t="b">
        <f aca="false">TRUE()</f>
        <v>1</v>
      </c>
      <c r="L25" s="9" t="n">
        <v>33</v>
      </c>
    </row>
    <row r="26" customFormat="false" ht="21.75" hidden="false" customHeight="true" outlineLevel="0" collapsed="false">
      <c r="A26" s="7" t="s">
        <v>770</v>
      </c>
      <c r="B26" s="7" t="s">
        <v>771</v>
      </c>
      <c r="C26" s="7" t="s">
        <v>772</v>
      </c>
      <c r="D26" s="7" t="s">
        <v>223</v>
      </c>
      <c r="E26" s="7" t="n">
        <v>0.8</v>
      </c>
      <c r="F26" s="7" t="s">
        <v>679</v>
      </c>
      <c r="G26" s="7" t="s">
        <v>773</v>
      </c>
      <c r="H26" s="7"/>
      <c r="I26" s="7"/>
      <c r="J26" s="8" t="b">
        <f aca="false">TRUE()</f>
        <v>1</v>
      </c>
      <c r="K26" s="8" t="b">
        <f aca="false">TRUE()</f>
        <v>1</v>
      </c>
      <c r="L26" s="7" t="n">
        <v>34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8"/>
    <col collapsed="false" customWidth="true" hidden="false" outlineLevel="0" max="2" min="2" style="0" width="45"/>
    <col collapsed="false" customWidth="true" hidden="false" outlineLevel="0" max="3" min="3" style="0" width="38"/>
    <col collapsed="false" customWidth="true" hidden="false" outlineLevel="0" max="4" min="4" style="0" width="30"/>
  </cols>
  <sheetData>
    <row r="1" customFormat="false" ht="30" hidden="false" customHeight="true" outlineLevel="0" collapsed="false">
      <c r="A1" s="6" t="s">
        <v>774</v>
      </c>
      <c r="B1" s="6" t="s">
        <v>775</v>
      </c>
      <c r="C1" s="6" t="s">
        <v>563</v>
      </c>
      <c r="D1" s="6" t="s">
        <v>564</v>
      </c>
    </row>
    <row r="2" customFormat="false" ht="21.75" hidden="false" customHeight="true" outlineLevel="0" collapsed="false">
      <c r="A2" s="7" t="s">
        <v>704</v>
      </c>
      <c r="B2" s="7" t="s">
        <v>705</v>
      </c>
      <c r="C2" s="7" t="s">
        <v>126</v>
      </c>
      <c r="D2" s="7" t="s">
        <v>127</v>
      </c>
    </row>
    <row r="3" customFormat="false" ht="21.75" hidden="false" customHeight="true" outlineLevel="0" collapsed="false">
      <c r="A3" s="9" t="s">
        <v>704</v>
      </c>
      <c r="B3" s="9" t="s">
        <v>705</v>
      </c>
      <c r="C3" s="9" t="s">
        <v>175</v>
      </c>
      <c r="D3" s="9" t="s">
        <v>176</v>
      </c>
    </row>
    <row r="4" customFormat="false" ht="21.75" hidden="false" customHeight="true" outlineLevel="0" collapsed="false">
      <c r="A4" s="7" t="s">
        <v>704</v>
      </c>
      <c r="B4" s="7" t="s">
        <v>705</v>
      </c>
      <c r="C4" s="7" t="s">
        <v>131</v>
      </c>
      <c r="D4" s="7" t="s">
        <v>132</v>
      </c>
    </row>
    <row r="5" customFormat="false" ht="21.75" hidden="false" customHeight="true" outlineLevel="0" collapsed="false">
      <c r="A5" s="9" t="s">
        <v>708</v>
      </c>
      <c r="B5" s="9" t="s">
        <v>709</v>
      </c>
      <c r="C5" s="9" t="s">
        <v>135</v>
      </c>
      <c r="D5" s="9" t="s">
        <v>136</v>
      </c>
    </row>
    <row r="6" customFormat="false" ht="21.75" hidden="false" customHeight="true" outlineLevel="0" collapsed="false">
      <c r="A6" s="7" t="s">
        <v>708</v>
      </c>
      <c r="B6" s="7" t="s">
        <v>709</v>
      </c>
      <c r="C6" s="7" t="s">
        <v>163</v>
      </c>
      <c r="D6" s="7" t="s">
        <v>164</v>
      </c>
    </row>
    <row r="7" customFormat="false" ht="21.75" hidden="false" customHeight="true" outlineLevel="0" collapsed="false">
      <c r="A7" s="9" t="s">
        <v>712</v>
      </c>
      <c r="B7" s="9" t="s">
        <v>776</v>
      </c>
      <c r="C7" s="9" t="s">
        <v>139</v>
      </c>
      <c r="D7" s="9" t="s">
        <v>140</v>
      </c>
    </row>
    <row r="8" customFormat="false" ht="21.75" hidden="false" customHeight="true" outlineLevel="0" collapsed="false">
      <c r="A8" s="7" t="s">
        <v>715</v>
      </c>
      <c r="B8" s="7" t="s">
        <v>716</v>
      </c>
      <c r="C8" s="7" t="s">
        <v>143</v>
      </c>
      <c r="D8" s="7" t="s">
        <v>144</v>
      </c>
    </row>
    <row r="9" customFormat="false" ht="21.75" hidden="false" customHeight="true" outlineLevel="0" collapsed="false">
      <c r="A9" s="9" t="s">
        <v>720</v>
      </c>
      <c r="B9" s="9" t="s">
        <v>721</v>
      </c>
      <c r="C9" s="9" t="s">
        <v>147</v>
      </c>
      <c r="D9" s="9" t="s">
        <v>148</v>
      </c>
    </row>
    <row r="10" customFormat="false" ht="21.75" hidden="false" customHeight="true" outlineLevel="0" collapsed="false">
      <c r="A10" s="7" t="s">
        <v>724</v>
      </c>
      <c r="B10" s="7" t="s">
        <v>777</v>
      </c>
      <c r="C10" s="7" t="s">
        <v>159</v>
      </c>
      <c r="D10" s="7" t="s">
        <v>160</v>
      </c>
    </row>
    <row r="11" customFormat="false" ht="21.75" hidden="false" customHeight="true" outlineLevel="0" collapsed="false">
      <c r="A11" s="9" t="s">
        <v>724</v>
      </c>
      <c r="B11" s="9" t="s">
        <v>777</v>
      </c>
      <c r="C11" s="9" t="s">
        <v>171</v>
      </c>
      <c r="D11" s="9" t="s">
        <v>172</v>
      </c>
    </row>
    <row r="12" customFormat="false" ht="21.75" hidden="false" customHeight="true" outlineLevel="0" collapsed="false">
      <c r="A12" s="7" t="s">
        <v>728</v>
      </c>
      <c r="B12" s="7" t="s">
        <v>778</v>
      </c>
      <c r="C12" s="7" t="s">
        <v>151</v>
      </c>
      <c r="D12" s="7" t="s">
        <v>152</v>
      </c>
    </row>
    <row r="13" customFormat="false" ht="21.75" hidden="false" customHeight="true" outlineLevel="0" collapsed="false">
      <c r="A13" s="9" t="s">
        <v>731</v>
      </c>
      <c r="B13" s="9" t="s">
        <v>779</v>
      </c>
      <c r="C13" s="9" t="s">
        <v>155</v>
      </c>
      <c r="D13" s="9" t="s">
        <v>156</v>
      </c>
    </row>
    <row r="14" customFormat="false" ht="21.75" hidden="false" customHeight="true" outlineLevel="0" collapsed="false">
      <c r="A14" s="7" t="s">
        <v>735</v>
      </c>
      <c r="B14" s="7" t="s">
        <v>780</v>
      </c>
      <c r="C14" s="7" t="s">
        <v>196</v>
      </c>
      <c r="D14" s="7" t="s">
        <v>197</v>
      </c>
    </row>
    <row r="15" customFormat="false" ht="21.75" hidden="false" customHeight="true" outlineLevel="0" collapsed="false">
      <c r="A15" s="9" t="s">
        <v>735</v>
      </c>
      <c r="B15" s="9" t="s">
        <v>780</v>
      </c>
      <c r="C15" s="9" t="s">
        <v>184</v>
      </c>
      <c r="D15" s="9" t="s">
        <v>185</v>
      </c>
    </row>
    <row r="16" customFormat="false" ht="21.75" hidden="false" customHeight="true" outlineLevel="0" collapsed="false">
      <c r="A16" s="7" t="s">
        <v>739</v>
      </c>
      <c r="B16" s="7" t="s">
        <v>781</v>
      </c>
      <c r="C16" s="7" t="s">
        <v>179</v>
      </c>
      <c r="D16" s="7" t="s">
        <v>180</v>
      </c>
    </row>
    <row r="17" customFormat="false" ht="21.75" hidden="false" customHeight="true" outlineLevel="0" collapsed="false">
      <c r="A17" s="9" t="s">
        <v>739</v>
      </c>
      <c r="B17" s="9" t="s">
        <v>781</v>
      </c>
      <c r="C17" s="9" t="s">
        <v>212</v>
      </c>
      <c r="D17" s="9" t="s">
        <v>213</v>
      </c>
    </row>
    <row r="18" customFormat="false" ht="21.75" hidden="false" customHeight="true" outlineLevel="0" collapsed="false">
      <c r="A18" s="7" t="s">
        <v>744</v>
      </c>
      <c r="B18" s="7" t="s">
        <v>782</v>
      </c>
      <c r="C18" s="7" t="s">
        <v>184</v>
      </c>
      <c r="D18" s="7" t="s">
        <v>185</v>
      </c>
    </row>
    <row r="19" customFormat="false" ht="21.75" hidden="false" customHeight="true" outlineLevel="0" collapsed="false">
      <c r="A19" s="9" t="s">
        <v>744</v>
      </c>
      <c r="B19" s="9" t="s">
        <v>782</v>
      </c>
      <c r="C19" s="9" t="s">
        <v>192</v>
      </c>
      <c r="D19" s="9" t="s">
        <v>193</v>
      </c>
    </row>
    <row r="20" customFormat="false" ht="21.75" hidden="false" customHeight="true" outlineLevel="0" collapsed="false">
      <c r="A20" s="7" t="s">
        <v>747</v>
      </c>
      <c r="B20" s="7" t="s">
        <v>783</v>
      </c>
      <c r="C20" s="7" t="s">
        <v>188</v>
      </c>
      <c r="D20" s="7" t="s">
        <v>189</v>
      </c>
    </row>
    <row r="21" customFormat="false" ht="21.75" hidden="false" customHeight="true" outlineLevel="0" collapsed="false">
      <c r="A21" s="9" t="s">
        <v>747</v>
      </c>
      <c r="B21" s="9" t="s">
        <v>783</v>
      </c>
      <c r="C21" s="9" t="s">
        <v>216</v>
      </c>
      <c r="D21" s="9" t="s">
        <v>217</v>
      </c>
    </row>
    <row r="22" customFormat="false" ht="21.75" hidden="false" customHeight="true" outlineLevel="0" collapsed="false">
      <c r="A22" s="7" t="s">
        <v>756</v>
      </c>
      <c r="B22" s="7" t="s">
        <v>784</v>
      </c>
      <c r="C22" s="7" t="s">
        <v>131</v>
      </c>
      <c r="D22" s="7" t="s">
        <v>132</v>
      </c>
    </row>
    <row r="23" customFormat="false" ht="21.75" hidden="false" customHeight="true" outlineLevel="0" collapsed="false">
      <c r="A23" s="9" t="s">
        <v>756</v>
      </c>
      <c r="B23" s="9" t="s">
        <v>784</v>
      </c>
      <c r="C23" s="9" t="s">
        <v>163</v>
      </c>
      <c r="D23" s="9" t="s">
        <v>164</v>
      </c>
    </row>
    <row r="24" customFormat="false" ht="21.75" hidden="false" customHeight="true" outlineLevel="0" collapsed="false">
      <c r="A24" s="7" t="s">
        <v>759</v>
      </c>
      <c r="B24" s="7" t="s">
        <v>785</v>
      </c>
      <c r="C24" s="7" t="s">
        <v>220</v>
      </c>
      <c r="D24" s="7" t="s">
        <v>221</v>
      </c>
    </row>
    <row r="25" customFormat="false" ht="21.75" hidden="false" customHeight="true" outlineLevel="0" collapsed="false">
      <c r="A25" s="9" t="s">
        <v>759</v>
      </c>
      <c r="B25" s="9" t="s">
        <v>785</v>
      </c>
      <c r="C25" s="9" t="s">
        <v>249</v>
      </c>
      <c r="D25" s="9" t="s">
        <v>250</v>
      </c>
    </row>
    <row r="26" customFormat="false" ht="21.75" hidden="false" customHeight="true" outlineLevel="0" collapsed="false">
      <c r="A26" s="7" t="s">
        <v>766</v>
      </c>
      <c r="B26" s="7" t="s">
        <v>786</v>
      </c>
      <c r="C26" s="7" t="s">
        <v>233</v>
      </c>
      <c r="D26" s="7" t="s">
        <v>234</v>
      </c>
    </row>
    <row r="27" customFormat="false" ht="21.75" hidden="false" customHeight="true" outlineLevel="0" collapsed="false">
      <c r="A27" s="9" t="s">
        <v>770</v>
      </c>
      <c r="B27" s="9" t="s">
        <v>771</v>
      </c>
      <c r="C27" s="9" t="s">
        <v>237</v>
      </c>
      <c r="D27" s="9" t="s">
        <v>238</v>
      </c>
    </row>
    <row r="28" customFormat="false" ht="21.75" hidden="false" customHeight="true" outlineLevel="0" collapsed="false">
      <c r="A28" s="7" t="s">
        <v>699</v>
      </c>
      <c r="B28" s="7" t="s">
        <v>787</v>
      </c>
      <c r="C28" s="7" t="s">
        <v>262</v>
      </c>
      <c r="D28" s="7" t="s">
        <v>263</v>
      </c>
    </row>
    <row r="29" customFormat="false" ht="21.75" hidden="false" customHeight="true" outlineLevel="0" collapsed="false">
      <c r="A29" s="9" t="s">
        <v>699</v>
      </c>
      <c r="B29" s="9" t="s">
        <v>787</v>
      </c>
      <c r="C29" s="9" t="s">
        <v>241</v>
      </c>
      <c r="D29" s="9" t="s">
        <v>242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8"/>
    <col collapsed="false" customWidth="true" hidden="false" outlineLevel="0" max="2" min="2" style="0" width="28"/>
    <col collapsed="false" customWidth="true" hidden="false" outlineLevel="0" max="3" min="3" style="0" width="35"/>
    <col collapsed="false" customWidth="true" hidden="false" outlineLevel="0" max="4" min="4" style="0" width="16"/>
    <col collapsed="false" customWidth="true" hidden="false" outlineLevel="0" max="5" min="5" style="0" width="24"/>
    <col collapsed="false" customWidth="true" hidden="false" outlineLevel="0" max="6" min="6" style="0" width="10"/>
  </cols>
  <sheetData>
    <row r="1" customFormat="false" ht="30" hidden="false" customHeight="true" outlineLevel="0" collapsed="false">
      <c r="A1" s="6" t="s">
        <v>53</v>
      </c>
      <c r="B1" s="6" t="s">
        <v>54</v>
      </c>
      <c r="C1" s="6" t="s">
        <v>565</v>
      </c>
      <c r="D1" s="6" t="s">
        <v>788</v>
      </c>
      <c r="E1" s="6" t="s">
        <v>789</v>
      </c>
      <c r="F1" s="6" t="s">
        <v>59</v>
      </c>
    </row>
    <row r="2" customFormat="false" ht="21.75" hidden="false" customHeight="true" outlineLevel="0" collapsed="false">
      <c r="A2" s="7" t="s">
        <v>790</v>
      </c>
      <c r="B2" s="7" t="s">
        <v>791</v>
      </c>
      <c r="C2" s="7" t="s">
        <v>792</v>
      </c>
      <c r="D2" s="7" t="s">
        <v>793</v>
      </c>
      <c r="E2" s="7" t="s">
        <v>794</v>
      </c>
      <c r="F2" s="8" t="b">
        <f aca="false">TRUE()</f>
        <v>1</v>
      </c>
    </row>
    <row r="3" customFormat="false" ht="21.75" hidden="false" customHeight="true" outlineLevel="0" collapsed="false">
      <c r="A3" s="9" t="s">
        <v>795</v>
      </c>
      <c r="B3" s="9" t="s">
        <v>796</v>
      </c>
      <c r="C3" s="9" t="s">
        <v>797</v>
      </c>
      <c r="D3" s="9" t="s">
        <v>798</v>
      </c>
      <c r="E3" s="9" t="s">
        <v>799</v>
      </c>
      <c r="F3" s="10" t="b">
        <f aca="false">TRUE()</f>
        <v>1</v>
      </c>
    </row>
    <row r="4" customFormat="false" ht="21.75" hidden="false" customHeight="true" outlineLevel="0" collapsed="false">
      <c r="A4" s="7" t="s">
        <v>800</v>
      </c>
      <c r="B4" s="7" t="s">
        <v>801</v>
      </c>
      <c r="C4" s="7" t="s">
        <v>802</v>
      </c>
      <c r="D4" s="7" t="s">
        <v>798</v>
      </c>
      <c r="E4" s="7" t="s">
        <v>803</v>
      </c>
      <c r="F4" s="8" t="b">
        <f aca="false">TRUE()</f>
        <v>1</v>
      </c>
    </row>
    <row r="5" customFormat="false" ht="21.75" hidden="false" customHeight="true" outlineLevel="0" collapsed="false">
      <c r="A5" s="9" t="s">
        <v>804</v>
      </c>
      <c r="B5" s="9" t="s">
        <v>805</v>
      </c>
      <c r="C5" s="9" t="s">
        <v>806</v>
      </c>
      <c r="D5" s="9" t="s">
        <v>798</v>
      </c>
      <c r="E5" s="9" t="s">
        <v>807</v>
      </c>
      <c r="F5" s="10" t="b">
        <f aca="false">TRUE()</f>
        <v>1</v>
      </c>
    </row>
    <row r="6" customFormat="false" ht="21.75" hidden="false" customHeight="true" outlineLevel="0" collapsed="false">
      <c r="A6" s="7" t="s">
        <v>808</v>
      </c>
      <c r="B6" s="7" t="s">
        <v>809</v>
      </c>
      <c r="C6" s="7" t="s">
        <v>810</v>
      </c>
      <c r="D6" s="7" t="s">
        <v>811</v>
      </c>
      <c r="E6" s="7" t="s">
        <v>794</v>
      </c>
      <c r="F6" s="8" t="b">
        <f aca="false">TRUE()</f>
        <v>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U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8"/>
    <col collapsed="false" customWidth="true" hidden="false" outlineLevel="0" max="2" min="2" style="0" width="16"/>
    <col collapsed="false" customWidth="true" hidden="false" outlineLevel="0" max="3" min="3" style="0" width="28"/>
    <col collapsed="false" customWidth="true" hidden="false" outlineLevel="0" max="4" min="4" style="0" width="24"/>
    <col collapsed="false" customWidth="true" hidden="false" outlineLevel="0" max="5" min="5" style="0" width="32"/>
    <col collapsed="false" customWidth="true" hidden="false" outlineLevel="0" max="6" min="6" style="0" width="22"/>
    <col collapsed="false" customWidth="true" hidden="false" outlineLevel="0" max="7" min="7" style="0" width="16"/>
    <col collapsed="false" customWidth="true" hidden="false" outlineLevel="0" max="8" min="8" style="0" width="12"/>
    <col collapsed="false" customWidth="true" hidden="false" outlineLevel="0" max="9" min="9" style="0" width="18"/>
    <col collapsed="false" customWidth="true" hidden="false" outlineLevel="0" max="10" min="10" style="0" width="14"/>
    <col collapsed="false" customWidth="true" hidden="false" outlineLevel="0" max="11" min="11" style="0" width="16"/>
    <col collapsed="false" customWidth="true" hidden="false" outlineLevel="0" max="13" min="12" style="0" width="10"/>
    <col collapsed="false" customWidth="true" hidden="false" outlineLevel="0" max="14" min="14" style="0" width="14"/>
    <col collapsed="false" customWidth="true" hidden="false" outlineLevel="0" max="17" min="15" style="0" width="12"/>
    <col collapsed="false" customWidth="true" hidden="false" outlineLevel="0" max="18" min="18" style="0" width="14"/>
    <col collapsed="false" customWidth="true" hidden="false" outlineLevel="0" max="19" min="19" style="0" width="60"/>
    <col collapsed="false" customWidth="true" hidden="false" outlineLevel="0" max="20" min="20" style="0" width="14"/>
    <col collapsed="false" customWidth="true" hidden="false" outlineLevel="0" max="21" min="21" style="0" width="20"/>
  </cols>
  <sheetData>
    <row r="1" customFormat="false" ht="30" hidden="false" customHeight="true" outlineLevel="0" collapsed="false">
      <c r="A1" s="6" t="s">
        <v>53</v>
      </c>
      <c r="B1" s="6" t="s">
        <v>812</v>
      </c>
      <c r="C1" s="6" t="s">
        <v>813</v>
      </c>
      <c r="D1" s="6" t="s">
        <v>814</v>
      </c>
      <c r="E1" s="6" t="s">
        <v>343</v>
      </c>
      <c r="F1" s="6" t="s">
        <v>815</v>
      </c>
      <c r="G1" s="6" t="s">
        <v>816</v>
      </c>
      <c r="H1" s="6" t="s">
        <v>817</v>
      </c>
      <c r="I1" s="6" t="s">
        <v>818</v>
      </c>
      <c r="J1" s="6" t="s">
        <v>819</v>
      </c>
      <c r="K1" s="6" t="s">
        <v>569</v>
      </c>
      <c r="L1" s="6" t="s">
        <v>820</v>
      </c>
      <c r="M1" s="6" t="s">
        <v>821</v>
      </c>
      <c r="N1" s="6" t="s">
        <v>822</v>
      </c>
      <c r="O1" s="6" t="s">
        <v>823</v>
      </c>
      <c r="P1" s="6" t="s">
        <v>824</v>
      </c>
      <c r="Q1" s="6" t="s">
        <v>825</v>
      </c>
      <c r="R1" s="6" t="s">
        <v>826</v>
      </c>
      <c r="S1" s="6" t="s">
        <v>827</v>
      </c>
      <c r="T1" s="6" t="s">
        <v>314</v>
      </c>
      <c r="U1" s="6" t="s">
        <v>828</v>
      </c>
    </row>
    <row r="2" customFormat="false" ht="21.75" hidden="false" customHeight="true" outlineLevel="0" collapsed="false">
      <c r="A2" s="7" t="s">
        <v>829</v>
      </c>
      <c r="B2" s="7" t="s">
        <v>830</v>
      </c>
      <c r="C2" s="7" t="s">
        <v>831</v>
      </c>
      <c r="D2" s="7" t="s">
        <v>832</v>
      </c>
      <c r="E2" s="7" t="s">
        <v>833</v>
      </c>
      <c r="F2" s="7" t="s">
        <v>67</v>
      </c>
      <c r="G2" s="7" t="s">
        <v>834</v>
      </c>
      <c r="H2" s="7" t="n">
        <v>4</v>
      </c>
      <c r="I2" s="7" t="s">
        <v>835</v>
      </c>
      <c r="J2" s="7" t="n">
        <v>3</v>
      </c>
      <c r="K2" s="7" t="s">
        <v>618</v>
      </c>
      <c r="L2" s="8" t="b">
        <f aca="false">TRUE()</f>
        <v>1</v>
      </c>
      <c r="M2" s="8" t="b">
        <f aca="false">FALSE()</f>
        <v>0</v>
      </c>
      <c r="N2" s="7" t="n">
        <v>35</v>
      </c>
      <c r="O2" s="7" t="n">
        <v>18</v>
      </c>
      <c r="P2" s="7" t="n">
        <v>22</v>
      </c>
      <c r="Q2" s="7" t="n">
        <v>24.9</v>
      </c>
      <c r="R2" s="7" t="s">
        <v>291</v>
      </c>
      <c r="S2" s="7" t="s">
        <v>836</v>
      </c>
      <c r="T2" s="7" t="s">
        <v>837</v>
      </c>
      <c r="U2" s="7" t="s">
        <v>838</v>
      </c>
    </row>
    <row r="3" customFormat="false" ht="21.75" hidden="false" customHeight="true" outlineLevel="0" collapsed="false">
      <c r="A3" s="9" t="s">
        <v>839</v>
      </c>
      <c r="B3" s="9" t="s">
        <v>840</v>
      </c>
      <c r="C3" s="9" t="s">
        <v>841</v>
      </c>
      <c r="D3" s="9" t="s">
        <v>842</v>
      </c>
      <c r="E3" s="9" t="s">
        <v>843</v>
      </c>
      <c r="F3" s="9" t="s">
        <v>82</v>
      </c>
      <c r="G3" s="9" t="s">
        <v>844</v>
      </c>
      <c r="H3" s="9" t="n">
        <v>22</v>
      </c>
      <c r="I3" s="9" t="s">
        <v>845</v>
      </c>
      <c r="J3" s="9" t="n">
        <v>8</v>
      </c>
      <c r="K3" s="9" t="s">
        <v>392</v>
      </c>
      <c r="L3" s="10" t="b">
        <f aca="false">TRUE()</f>
        <v>1</v>
      </c>
      <c r="M3" s="10" t="b">
        <f aca="false">FALSE()</f>
        <v>0</v>
      </c>
      <c r="N3" s="9" t="n">
        <v>62</v>
      </c>
      <c r="O3" s="9" t="n">
        <v>48</v>
      </c>
      <c r="P3" s="9" t="n">
        <v>55</v>
      </c>
      <c r="Q3" s="9" t="n">
        <v>53.3</v>
      </c>
      <c r="R3" s="9" t="s">
        <v>300</v>
      </c>
      <c r="S3" s="9" t="s">
        <v>846</v>
      </c>
      <c r="T3" s="9" t="s">
        <v>837</v>
      </c>
      <c r="U3" s="9" t="s">
        <v>847</v>
      </c>
    </row>
    <row r="4" customFormat="false" ht="21.75" hidden="false" customHeight="true" outlineLevel="0" collapsed="false">
      <c r="A4" s="7" t="s">
        <v>848</v>
      </c>
      <c r="B4" s="7" t="s">
        <v>830</v>
      </c>
      <c r="C4" s="7" t="s">
        <v>849</v>
      </c>
      <c r="D4" s="7" t="s">
        <v>850</v>
      </c>
      <c r="E4" s="7" t="s">
        <v>851</v>
      </c>
      <c r="F4" s="7" t="s">
        <v>106</v>
      </c>
      <c r="G4" s="7" t="s">
        <v>834</v>
      </c>
      <c r="H4" s="7" t="n">
        <v>2</v>
      </c>
      <c r="I4" s="7" t="s">
        <v>835</v>
      </c>
      <c r="J4" s="7" t="n">
        <v>5</v>
      </c>
      <c r="K4" s="7" t="s">
        <v>392</v>
      </c>
      <c r="L4" s="8" t="b">
        <f aca="false">TRUE()</f>
        <v>1</v>
      </c>
      <c r="M4" s="8" t="b">
        <f aca="false">TRUE()</f>
        <v>1</v>
      </c>
      <c r="N4" s="7" t="n">
        <v>28</v>
      </c>
      <c r="O4" s="7" t="n">
        <v>15</v>
      </c>
      <c r="P4" s="7" t="n">
        <v>30</v>
      </c>
      <c r="Q4" s="7" t="n">
        <v>22.95</v>
      </c>
      <c r="R4" s="7" t="s">
        <v>291</v>
      </c>
      <c r="S4" s="7" t="s">
        <v>852</v>
      </c>
      <c r="T4" s="7" t="s">
        <v>837</v>
      </c>
      <c r="U4" s="7" t="s">
        <v>853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3" min="1" style="0" width="38"/>
    <col collapsed="false" customWidth="true" hidden="false" outlineLevel="0" max="4" min="4" style="0" width="40"/>
    <col collapsed="false" customWidth="true" hidden="false" outlineLevel="0" max="5" min="5" style="0" width="32"/>
    <col collapsed="false" customWidth="true" hidden="false" outlineLevel="0" max="6" min="6" style="0" width="42"/>
    <col collapsed="false" customWidth="true" hidden="false" outlineLevel="0" max="7" min="7" style="0" width="14"/>
  </cols>
  <sheetData>
    <row r="1" customFormat="false" ht="30" hidden="false" customHeight="true" outlineLevel="0" collapsed="false">
      <c r="A1" s="6" t="s">
        <v>53</v>
      </c>
      <c r="B1" s="6" t="s">
        <v>854</v>
      </c>
      <c r="C1" s="6" t="s">
        <v>774</v>
      </c>
      <c r="D1" s="6" t="s">
        <v>775</v>
      </c>
      <c r="E1" s="6" t="s">
        <v>855</v>
      </c>
      <c r="F1" s="6" t="s">
        <v>856</v>
      </c>
      <c r="G1" s="6" t="s">
        <v>857</v>
      </c>
    </row>
    <row r="2" customFormat="false" ht="21.75" hidden="false" customHeight="true" outlineLevel="0" collapsed="false">
      <c r="A2" s="7" t="s">
        <v>858</v>
      </c>
      <c r="B2" s="7" t="s">
        <v>829</v>
      </c>
      <c r="C2" s="7" t="s">
        <v>675</v>
      </c>
      <c r="D2" s="7" t="s">
        <v>859</v>
      </c>
      <c r="E2" s="7" t="s">
        <v>67</v>
      </c>
      <c r="F2" s="7" t="s">
        <v>217</v>
      </c>
      <c r="G2" s="7" t="n">
        <v>0</v>
      </c>
    </row>
    <row r="3" customFormat="false" ht="21.75" hidden="false" customHeight="true" outlineLevel="0" collapsed="false">
      <c r="A3" s="9" t="s">
        <v>860</v>
      </c>
      <c r="B3" s="9" t="s">
        <v>829</v>
      </c>
      <c r="C3" s="9" t="s">
        <v>681</v>
      </c>
      <c r="D3" s="9" t="s">
        <v>861</v>
      </c>
      <c r="E3" s="9" t="s">
        <v>862</v>
      </c>
      <c r="F3" s="9"/>
      <c r="G3" s="9" t="n">
        <v>0</v>
      </c>
    </row>
    <row r="4" customFormat="false" ht="21.75" hidden="false" customHeight="true" outlineLevel="0" collapsed="false">
      <c r="A4" s="7" t="s">
        <v>863</v>
      </c>
      <c r="B4" s="7" t="s">
        <v>829</v>
      </c>
      <c r="C4" s="7" t="s">
        <v>704</v>
      </c>
      <c r="D4" s="7" t="s">
        <v>864</v>
      </c>
      <c r="E4" s="7" t="s">
        <v>865</v>
      </c>
      <c r="F4" s="7" t="s">
        <v>866</v>
      </c>
      <c r="G4" s="7" t="n">
        <v>0</v>
      </c>
    </row>
    <row r="5" customFormat="false" ht="21.75" hidden="false" customHeight="true" outlineLevel="0" collapsed="false">
      <c r="A5" s="9" t="s">
        <v>867</v>
      </c>
      <c r="B5" s="9" t="s">
        <v>829</v>
      </c>
      <c r="C5" s="9" t="s">
        <v>708</v>
      </c>
      <c r="D5" s="9" t="s">
        <v>868</v>
      </c>
      <c r="E5" s="9" t="s">
        <v>869</v>
      </c>
      <c r="F5" s="9" t="s">
        <v>136</v>
      </c>
      <c r="G5" s="9" t="n">
        <v>30</v>
      </c>
    </row>
    <row r="6" customFormat="false" ht="21.75" hidden="false" customHeight="true" outlineLevel="0" collapsed="false">
      <c r="A6" s="7" t="s">
        <v>870</v>
      </c>
      <c r="B6" s="7" t="s">
        <v>829</v>
      </c>
      <c r="C6" s="7" t="s">
        <v>728</v>
      </c>
      <c r="D6" s="7" t="s">
        <v>871</v>
      </c>
      <c r="E6" s="7" t="s">
        <v>872</v>
      </c>
      <c r="F6" s="7" t="s">
        <v>152</v>
      </c>
      <c r="G6" s="7" t="n">
        <v>0</v>
      </c>
    </row>
    <row r="7" customFormat="false" ht="21.75" hidden="false" customHeight="true" outlineLevel="0" collapsed="false">
      <c r="A7" s="9" t="s">
        <v>873</v>
      </c>
      <c r="B7" s="9" t="s">
        <v>829</v>
      </c>
      <c r="C7" s="9" t="s">
        <v>735</v>
      </c>
      <c r="D7" s="9" t="s">
        <v>874</v>
      </c>
      <c r="E7" s="9" t="s">
        <v>875</v>
      </c>
      <c r="F7" s="9"/>
      <c r="G7" s="9" t="n">
        <v>20</v>
      </c>
    </row>
    <row r="8" customFormat="false" ht="21.75" hidden="false" customHeight="true" outlineLevel="0" collapsed="false">
      <c r="A8" s="7" t="s">
        <v>876</v>
      </c>
      <c r="B8" s="7" t="s">
        <v>829</v>
      </c>
      <c r="C8" s="7" t="s">
        <v>756</v>
      </c>
      <c r="D8" s="7" t="s">
        <v>877</v>
      </c>
      <c r="E8" s="7" t="s">
        <v>878</v>
      </c>
      <c r="F8" s="7"/>
      <c r="G8" s="7" t="n">
        <v>0</v>
      </c>
    </row>
    <row r="9" customFormat="false" ht="21.75" hidden="false" customHeight="true" outlineLevel="0" collapsed="false">
      <c r="A9" s="9" t="s">
        <v>879</v>
      </c>
      <c r="B9" s="9" t="s">
        <v>839</v>
      </c>
      <c r="C9" s="9" t="s">
        <v>675</v>
      </c>
      <c r="D9" s="9" t="s">
        <v>859</v>
      </c>
      <c r="E9" s="9" t="s">
        <v>82</v>
      </c>
      <c r="F9" s="9" t="s">
        <v>880</v>
      </c>
      <c r="G9" s="9" t="n">
        <v>0</v>
      </c>
    </row>
    <row r="10" customFormat="false" ht="21.75" hidden="false" customHeight="true" outlineLevel="0" collapsed="false">
      <c r="A10" s="7" t="s">
        <v>881</v>
      </c>
      <c r="B10" s="7" t="s">
        <v>839</v>
      </c>
      <c r="C10" s="7" t="s">
        <v>704</v>
      </c>
      <c r="D10" s="7" t="s">
        <v>864</v>
      </c>
      <c r="E10" s="7" t="s">
        <v>882</v>
      </c>
      <c r="F10" s="7" t="s">
        <v>127</v>
      </c>
      <c r="G10" s="7" t="n">
        <v>50</v>
      </c>
    </row>
    <row r="11" customFormat="false" ht="21.75" hidden="false" customHeight="true" outlineLevel="0" collapsed="false">
      <c r="A11" s="9" t="s">
        <v>883</v>
      </c>
      <c r="B11" s="9" t="s">
        <v>839</v>
      </c>
      <c r="C11" s="9" t="s">
        <v>759</v>
      </c>
      <c r="D11" s="9" t="s">
        <v>884</v>
      </c>
      <c r="E11" s="9" t="s">
        <v>885</v>
      </c>
      <c r="F11" s="9" t="s">
        <v>886</v>
      </c>
      <c r="G11" s="9" t="n">
        <v>70</v>
      </c>
    </row>
    <row r="12" customFormat="false" ht="21.75" hidden="false" customHeight="true" outlineLevel="0" collapsed="false">
      <c r="A12" s="7" t="s">
        <v>887</v>
      </c>
      <c r="B12" s="7" t="s">
        <v>848</v>
      </c>
      <c r="C12" s="7" t="s">
        <v>675</v>
      </c>
      <c r="D12" s="7" t="s">
        <v>859</v>
      </c>
      <c r="E12" s="7" t="s">
        <v>106</v>
      </c>
      <c r="F12" s="7" t="s">
        <v>263</v>
      </c>
      <c r="G12" s="7" t="n">
        <v>0</v>
      </c>
    </row>
    <row r="13" customFormat="false" ht="21.75" hidden="false" customHeight="true" outlineLevel="0" collapsed="false">
      <c r="A13" s="9" t="s">
        <v>888</v>
      </c>
      <c r="B13" s="9" t="s">
        <v>848</v>
      </c>
      <c r="C13" s="9" t="s">
        <v>704</v>
      </c>
      <c r="D13" s="9" t="s">
        <v>864</v>
      </c>
      <c r="E13" s="9" t="s">
        <v>865</v>
      </c>
      <c r="F13" s="9" t="s">
        <v>866</v>
      </c>
      <c r="G13" s="9" t="n">
        <v>0</v>
      </c>
    </row>
    <row r="14" customFormat="false" ht="21.75" hidden="false" customHeight="true" outlineLevel="0" collapsed="false">
      <c r="A14" s="7" t="s">
        <v>889</v>
      </c>
      <c r="B14" s="7" t="s">
        <v>848</v>
      </c>
      <c r="C14" s="7" t="s">
        <v>699</v>
      </c>
      <c r="D14" s="7" t="s">
        <v>890</v>
      </c>
      <c r="E14" s="7" t="s">
        <v>891</v>
      </c>
      <c r="F14" s="7" t="s">
        <v>892</v>
      </c>
      <c r="G14" s="7" t="n"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1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1" style="0" width="38"/>
    <col collapsed="false" customWidth="true" hidden="false" outlineLevel="0" max="3" min="3" style="0" width="12"/>
    <col collapsed="false" customWidth="true" hidden="false" outlineLevel="0" max="4" min="4" style="0" width="40"/>
    <col collapsed="false" customWidth="true" hidden="false" outlineLevel="0" max="5" min="5" style="0" width="12"/>
    <col collapsed="false" customWidth="true" hidden="false" outlineLevel="0" max="6" min="6" style="0" width="10"/>
    <col collapsed="false" customWidth="true" hidden="false" outlineLevel="0" max="7" min="7" style="0" width="50"/>
    <col collapsed="false" customWidth="true" hidden="false" outlineLevel="0" max="8" min="8" style="0" width="14"/>
    <col collapsed="false" customWidth="true" hidden="false" outlineLevel="0" max="9" min="9" style="0" width="65"/>
  </cols>
  <sheetData>
    <row r="1" customFormat="false" ht="30" hidden="false" customHeight="true" outlineLevel="0" collapsed="false">
      <c r="A1" s="6" t="s">
        <v>53</v>
      </c>
      <c r="B1" s="6" t="s">
        <v>854</v>
      </c>
      <c r="C1" s="6" t="s">
        <v>893</v>
      </c>
      <c r="D1" s="6" t="s">
        <v>894</v>
      </c>
      <c r="E1" s="6" t="s">
        <v>895</v>
      </c>
      <c r="F1" s="6" t="s">
        <v>896</v>
      </c>
      <c r="G1" s="6" t="s">
        <v>897</v>
      </c>
      <c r="H1" s="6" t="s">
        <v>898</v>
      </c>
      <c r="I1" s="6" t="s">
        <v>899</v>
      </c>
    </row>
    <row r="2" customFormat="false" ht="21.75" hidden="false" customHeight="true" outlineLevel="0" collapsed="false">
      <c r="A2" s="7" t="s">
        <v>900</v>
      </c>
      <c r="B2" s="7" t="s">
        <v>829</v>
      </c>
      <c r="C2" s="7" t="s">
        <v>901</v>
      </c>
      <c r="D2" s="7" t="s">
        <v>551</v>
      </c>
      <c r="E2" s="7" t="n">
        <v>0.94</v>
      </c>
      <c r="F2" s="7" t="n">
        <v>1</v>
      </c>
      <c r="G2" s="7" t="s">
        <v>902</v>
      </c>
      <c r="H2" s="8" t="b">
        <f aca="false">TRUE()</f>
        <v>1</v>
      </c>
      <c r="I2" s="7" t="s">
        <v>903</v>
      </c>
    </row>
    <row r="3" customFormat="false" ht="21.75" hidden="false" customHeight="true" outlineLevel="0" collapsed="false">
      <c r="A3" s="9" t="s">
        <v>904</v>
      </c>
      <c r="B3" s="9" t="s">
        <v>829</v>
      </c>
      <c r="C3" s="9" t="s">
        <v>901</v>
      </c>
      <c r="D3" s="9" t="s">
        <v>531</v>
      </c>
      <c r="E3" s="9" t="n">
        <v>0.82</v>
      </c>
      <c r="F3" s="9" t="n">
        <v>2</v>
      </c>
      <c r="G3" s="9" t="s">
        <v>905</v>
      </c>
      <c r="H3" s="10" t="b">
        <f aca="false">TRUE()</f>
        <v>1</v>
      </c>
      <c r="I3" s="9" t="s">
        <v>906</v>
      </c>
    </row>
    <row r="4" customFormat="false" ht="21.75" hidden="false" customHeight="true" outlineLevel="0" collapsed="false">
      <c r="A4" s="7" t="s">
        <v>907</v>
      </c>
      <c r="B4" s="7" t="s">
        <v>829</v>
      </c>
      <c r="C4" s="7" t="s">
        <v>908</v>
      </c>
      <c r="D4" s="7" t="s">
        <v>632</v>
      </c>
      <c r="E4" s="7" t="n">
        <v>0.91</v>
      </c>
      <c r="F4" s="7" t="n">
        <v>1</v>
      </c>
      <c r="G4" s="7" t="s">
        <v>909</v>
      </c>
      <c r="H4" s="8" t="b">
        <f aca="false">TRUE()</f>
        <v>1</v>
      </c>
      <c r="I4" s="7" t="s">
        <v>910</v>
      </c>
    </row>
    <row r="5" customFormat="false" ht="21.75" hidden="false" customHeight="true" outlineLevel="0" collapsed="false">
      <c r="A5" s="9" t="s">
        <v>911</v>
      </c>
      <c r="B5" s="9" t="s">
        <v>829</v>
      </c>
      <c r="C5" s="9" t="s">
        <v>908</v>
      </c>
      <c r="D5" s="9" t="s">
        <v>654</v>
      </c>
      <c r="E5" s="9" t="n">
        <v>0.85</v>
      </c>
      <c r="F5" s="9" t="n">
        <v>2</v>
      </c>
      <c r="G5" s="9" t="s">
        <v>912</v>
      </c>
      <c r="H5" s="10" t="b">
        <f aca="false">TRUE()</f>
        <v>1</v>
      </c>
      <c r="I5" s="9" t="s">
        <v>913</v>
      </c>
    </row>
    <row r="6" customFormat="false" ht="21.75" hidden="false" customHeight="true" outlineLevel="0" collapsed="false">
      <c r="A6" s="7" t="s">
        <v>914</v>
      </c>
      <c r="B6" s="7" t="s">
        <v>839</v>
      </c>
      <c r="C6" s="7" t="s">
        <v>901</v>
      </c>
      <c r="D6" s="7" t="s">
        <v>485</v>
      </c>
      <c r="E6" s="7" t="n">
        <v>0.88</v>
      </c>
      <c r="F6" s="7" t="n">
        <v>1</v>
      </c>
      <c r="G6" s="7" t="s">
        <v>915</v>
      </c>
      <c r="H6" s="8" t="b">
        <f aca="false">TRUE()</f>
        <v>1</v>
      </c>
      <c r="I6" s="7" t="s">
        <v>916</v>
      </c>
    </row>
    <row r="7" customFormat="false" ht="21.75" hidden="false" customHeight="true" outlineLevel="0" collapsed="false">
      <c r="A7" s="9" t="s">
        <v>917</v>
      </c>
      <c r="B7" s="9" t="s">
        <v>839</v>
      </c>
      <c r="C7" s="9" t="s">
        <v>908</v>
      </c>
      <c r="D7" s="9" t="s">
        <v>609</v>
      </c>
      <c r="E7" s="9" t="n">
        <v>0.92</v>
      </c>
      <c r="F7" s="9" t="n">
        <v>1</v>
      </c>
      <c r="G7" s="9" t="s">
        <v>918</v>
      </c>
      <c r="H7" s="10" t="b">
        <f aca="false">TRUE()</f>
        <v>1</v>
      </c>
      <c r="I7" s="9" t="s">
        <v>919</v>
      </c>
    </row>
    <row r="8" customFormat="false" ht="21.75" hidden="false" customHeight="true" outlineLevel="0" collapsed="false">
      <c r="A8" s="7" t="s">
        <v>920</v>
      </c>
      <c r="B8" s="7" t="s">
        <v>848</v>
      </c>
      <c r="C8" s="7" t="s">
        <v>901</v>
      </c>
      <c r="D8" s="7" t="s">
        <v>411</v>
      </c>
      <c r="E8" s="7" t="n">
        <v>0.45</v>
      </c>
      <c r="F8" s="7" t="n">
        <v>1</v>
      </c>
      <c r="G8" s="7" t="s">
        <v>263</v>
      </c>
      <c r="H8" s="8" t="b">
        <f aca="false">FALSE()</f>
        <v>0</v>
      </c>
      <c r="I8" s="7" t="s">
        <v>921</v>
      </c>
    </row>
    <row r="9" customFormat="false" ht="21.75" hidden="false" customHeight="true" outlineLevel="0" collapsed="false">
      <c r="A9" s="9" t="s">
        <v>922</v>
      </c>
      <c r="B9" s="9" t="s">
        <v>848</v>
      </c>
      <c r="C9" s="9" t="s">
        <v>901</v>
      </c>
      <c r="D9" s="9" t="s">
        <v>425</v>
      </c>
      <c r="E9" s="9" t="n">
        <v>0.78</v>
      </c>
      <c r="F9" s="9" t="n">
        <v>2</v>
      </c>
      <c r="G9" s="9" t="s">
        <v>923</v>
      </c>
      <c r="H9" s="10" t="b">
        <f aca="false">TRUE()</f>
        <v>1</v>
      </c>
      <c r="I9" s="9" t="s">
        <v>924</v>
      </c>
    </row>
    <row r="10" customFormat="false" ht="21.75" hidden="false" customHeight="true" outlineLevel="0" collapsed="false">
      <c r="A10" s="7" t="s">
        <v>925</v>
      </c>
      <c r="B10" s="7" t="s">
        <v>848</v>
      </c>
      <c r="C10" s="7" t="s">
        <v>908</v>
      </c>
      <c r="D10" s="7" t="s">
        <v>599</v>
      </c>
      <c r="E10" s="7" t="n">
        <v>0.95</v>
      </c>
      <c r="F10" s="7" t="n">
        <v>1</v>
      </c>
      <c r="G10" s="7" t="s">
        <v>926</v>
      </c>
      <c r="H10" s="8" t="b">
        <f aca="false">TRUE()</f>
        <v>1</v>
      </c>
      <c r="I10" s="7" t="s">
        <v>927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2026-08-15T13:10:49Z</dcterms:created>
  <dc:creator>openpyxl</dc:creator>
  <dc:description/>
  <dc:language>en-US</dc:language>
  <cp:lastModifiedBy/>
  <dcterms:modified xsi:type="dcterms:W3CDTF">2026-08-15T13:10:50Z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